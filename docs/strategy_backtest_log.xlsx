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test Log" sheetId="1" state="visible" r:id="rId3"/>
    <sheet name="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<sst xmlns="http://schemas.openxmlformats.org/spreadsheetml/2006/main" count="125" uniqueCount="93">
  <si>
    <t xml:space="preserve">#</t>
  </si>
  <si>
    <t xml:space="preserve">Strategy</t>
  </si>
  <si>
    <t xml:space="preserve">Symbol</t>
  </si>
  <si>
    <t xml:space="preserve">Structure</t>
  </si>
  <si>
    <t xml:space="preserve">Spot</t>
  </si>
  <si>
    <t xml:space="preserve">SMA20</t>
  </si>
  <si>
    <t xml:space="preserve">SMA50</t>
  </si>
  <si>
    <t xml:space="preserve">Realized Vol 20d</t>
  </si>
  <si>
    <t xml:space="preserve">Trend 60d</t>
  </si>
  <si>
    <t xml:space="preserve">Expiry (d)</t>
  </si>
  <si>
    <t xml:space="preserve">IV Mode</t>
  </si>
  <si>
    <t xml:space="preserve">Trades</t>
  </si>
  <si>
    <t xml:space="preserve">Win Rate</t>
  </si>
  <si>
    <t xml:space="preserve">Avg PnL (pts)</t>
  </si>
  <si>
    <t xml:space="preserve">Total PnL (pts)</t>
  </si>
  <si>
    <t xml:space="preserve">Max Drawdown (pts)</t>
  </si>
  <si>
    <t xml:space="preserve">Best Trade (pts)</t>
  </si>
  <si>
    <t xml:space="preserve">Worst Trade (pts)</t>
  </si>
  <si>
    <t xml:space="preserve">Max Loss Proxy (pts)</t>
  </si>
  <si>
    <t xml:space="preserve">Return/Risk</t>
  </si>
  <si>
    <t xml:space="preserve">Risk</t>
  </si>
  <si>
    <t xml:space="preserve">Verdict</t>
  </si>
  <si>
    <t xml:space="preserve">Notes</t>
  </si>
  <si>
    <t xml:space="preserve">Bull Call Spread</t>
  </si>
  <si>
    <t xml:space="preserve">^NSEBANK</t>
  </si>
  <si>
    <t xml:space="preserve">Buy ATM Call + Sell Call @+3%</t>
  </si>
  <si>
    <t xml:space="preserve">realized</t>
  </si>
  <si>
    <t xml:space="preserve">defined/capped</t>
  </si>
  <si>
    <t xml:space="preserve">Positive avg PnL despite &lt;50% win rate — driven by a few large trend-following winners; loss capped by the long leg.</t>
  </si>
  <si>
    <t xml:space="preserve">Bear Put Spread</t>
  </si>
  <si>
    <t xml:space="preserve">^BSESN</t>
  </si>
  <si>
    <t xml:space="preserve">Buy ATM Put + Sell Put @-3%</t>
  </si>
  <si>
    <t xml:space="preserve">No genuine bearish setup exists right now (SENSEX still trending up 60d) — tested on the relative-weakest of the 3 indices. Historical avg positive but win rate low; skewed by a few sharp pullbacks.</t>
  </si>
  <si>
    <t xml:space="preserve">Long Straddle</t>
  </si>
  <si>
    <t xml:space="preserve">^NSEI</t>
  </si>
  <si>
    <t xml:space="preserve">Buy ATM Call + Buy ATM Put</t>
  </si>
  <si>
    <t xml:space="preserve">n/a</t>
  </si>
  <si>
    <t xml:space="preserve">Max loss capped at premium paid (no short legs) — near coin-flip win rate is typical for long-vol; needs a real breakout to pay off. Max-loss-proxy check n/a (extreme-move check isn't meaningful for a pure debit structure).</t>
  </si>
  <si>
    <t xml:space="preserve">Short Strangle</t>
  </si>
  <si>
    <t xml:space="preserve">Sell Call @+5% + Sell Put @-5%</t>
  </si>
  <si>
    <t xml:space="preserve">large/undefined (naked short exposure)</t>
  </si>
  <si>
    <t xml:space="preserve">High win rate but negative average — classic premium-selling tail risk. Current India VIX (~11.5) is too low to compensate for the uncapped risk. Do not deploy at current IV.</t>
  </si>
  <si>
    <t xml:space="preserve">Iron Condor (template)</t>
  </si>
  <si>
    <t xml:space="preserve">Put -8%/-4% + Call +4%/+8% (4%/8% wings)</t>
  </si>
  <si>
    <t xml:space="preserve">High win rate, still net negative — NIFTY trended through the wings more than it stayed range-bound over this 2y window.</t>
  </si>
  <si>
    <t xml:space="preserve">Protective Put</t>
  </si>
  <si>
    <t xml:space="preserve">Long underlying + Buy Put @-3%</t>
  </si>
  <si>
    <t xml:space="preserve">Best performer of the 8 templates — rides BANKNIFTY's uptrend with a hard downside floor.</t>
  </si>
  <si>
    <t xml:space="preserve">Covered Call</t>
  </si>
  <si>
    <t xml:space="preserve">Long underlying + Sell Call @+3%</t>
  </si>
  <si>
    <t xml:space="preserve">large (covered by underlying)</t>
  </si>
  <si>
    <t xml:space="preserve">Same downside as holding BANKNIFTY outright, upside capped at +3%. Reasonable only if you already want the underlying exposure — not a standalone defined-risk trade.</t>
  </si>
  <si>
    <t xml:space="preserve">Collar</t>
  </si>
  <si>
    <t xml:space="preserve">Long underlying + Buy Put @-3% + Sell Call @+3%</t>
  </si>
  <si>
    <t xml:space="preserve">Second-best performer — same uptrend edge as the protective put, lower net cost (call premium offsets some of the put).</t>
  </si>
  <si>
    <t xml:space="preserve">SMA Crossover (5/20)</t>
  </si>
  <si>
    <t xml:space="preserve">Directional, underlying only (not an options structure)</t>
  </si>
  <si>
    <t xml:space="preserve">Not robust (prior run)</t>
  </si>
  <si>
    <t xml:space="preserve">Tried earlier via /backtest + /sweep on NIFTY 1-min/7-day data — flagged NOT ROBUST: results didn't hold up across the sweep parameter grid. Not re-run here (different engine/timeframe); carried forward as-is.</t>
  </si>
  <si>
    <t xml:space="preserve">NIFTY Iron Condor (live-tuned)</t>
  </si>
  <si>
    <t xml:space="preserve">Same underlying test as row 5 (identical structure/symbol). Uses generic spot-relative offsets, not the original swing-high/low-anchored strikes (24700/23700 short, 24900/23500 long) — no live option-chain data source is wired in for exact-strike backtesting.</t>
  </si>
  <si>
    <t xml:space="preserve">SENSEX Iron Condor (wider wings)</t>
  </si>
  <si>
    <t xml:space="preserve">Same vol-mispricing thesis as row 10 — also net negative over this window; SENSEX trended more than it ranged.</t>
  </si>
  <si>
    <t xml:space="preserve">BANKNIFTY Bull Put Spread</t>
  </si>
  <si>
    <t xml:space="preserve">Sell Put @-3% + Buy Put @-6%</t>
  </si>
  <si>
    <t xml:space="preserve">High win rate, negative average — a few sharp pullbacks through the short strike outweigh the frequent small credits collected.</t>
  </si>
  <si>
    <t xml:space="preserve">Options Strategy Backtest — Methodology &amp; Caveats</t>
  </si>
  <si>
    <t xml:space="preserve">Run date/time (UTC)</t>
  </si>
  <si>
    <t xml:space="preserve">2026-09-02T02:56 (GitHub Actions run #1, triggered via workflow_dispatch)</t>
  </si>
  <si>
    <t xml:space="preserve">Data source</t>
  </si>
  <si>
    <t xml:space="preserve">tv-paper-bot-gdan.onrender.com/options-backtest — real yfinance underlying OHLC history (^NSEI, ^NSEBANK, ^BSESN), 2y daily, priced with Black-Scholes.</t>
  </si>
  <si>
    <t xml:space="preserve">IMPORTANT CAVEAT</t>
  </si>
  <si>
    <t xml:space="preserve">This is a MODEL ESTIMATE, not a replay of real historical option prices. No historical options-chain data source is wired into this project. The engine simulates fair-value premiums via Black-Scholes against the underlying's real price history — it does not reflect actual historical bid/ask, liquidity, or assignment/margin mechanics.</t>
  </si>
  <si>
    <t xml:space="preserve">Pricing model</t>
  </si>
  <si>
    <t xml:space="preserve">Black-Scholes European options. r (risk-free rate) = 5.25% (RBI repo, Aug 2026 MPC).</t>
  </si>
  <si>
    <t xml:space="preserve">IV input (iv_mode=realized)</t>
  </si>
  <si>
    <t xml:space="preserve">Trailing 20-trading-day realized volatility (annualized stdev of log returns), floored at 5%, recomputed at every entry date.</t>
  </si>
  <si>
    <t xml:space="preserve">Expiry / rebalance</t>
  </si>
  <si>
    <t xml:space="preserve">expiry_days=15 (~2-3wk, matches the originally proposed live strikes); a new trade is opened every step_days=5 trading days (rolling, overlapping windows) over a 2-year lookback -&gt; 84 trades per strategy.</t>
  </si>
  <si>
    <t xml:space="preserve">Strike/offset convention</t>
  </si>
  <si>
    <t xml:space="preserve">legs are TYPE:ACTION:OFFSET, strike = spot_at_entry * (1 + OFFSET). E.g. C:sell:0.03 = short call struck 3% above that trade's entry spot. Generic spot-relative offsets were used for every row — NOT the original swing-high/low-anchored strikes proposed for rows 10-11 in docs/STRATEGY_LOG.md (24700/23700/24900/23500 etc.) — those need real option-chain data to backtest exactly, which isn't available yet.</t>
  </si>
  <si>
    <t xml:space="preserve">Symbol assignment</t>
  </si>
  <si>
    <t xml:space="preserve">Chosen per each template's best-fit market condition using the 'current' spot/SMA/trend snapshot returned by the same run: BANKNIFTY = strongest 60d uptrend (bullish/holding structures); NIFTY = tightest vol squeeze (long straddle, iron condor); SENSEX = weakest of the three &amp; most range-bound (bear put, short strangle). No genuinely bearish setup existed at run time — the bear put spread is flagged low-confidence for that reason.</t>
  </si>
  <si>
    <t xml:space="preserve">PnL units</t>
  </si>
  <si>
    <t xml:space="preserve">Index points per 1 lot-equivalent (multiply by your actual lot size / quantity for real capital impact). Not risk-adjusted for margin requirements.</t>
  </si>
  <si>
    <t xml:space="preserve">Risk classification</t>
  </si>
  <si>
    <t xml:space="preserve">Deterministic, structural (not a threshold on the extreme-move check): 'defined/capped' = every short option leg has an offsetting long leg; 'large (covered by underlying)' = a short call is covered by a long underlying position rather than a long call, so downside = holding the underlying outright; 'large/undefined (naked short exposure)' = a short option leg has neither an offsetting long option nor underlying cover.</t>
  </si>
  <si>
    <t xml:space="preserve">Verdict rule (col V, formula)</t>
  </si>
  <si>
    <t xml:space="preserve">Robust — keep: win rate &gt;= 50% AND avg PnL &gt; 0. Marginal: exactly one of those holds. Not robust — drop: neither holds. This is a simple, transparent rule on this single 2y/15d/realized-IV run — not a substitute for out-of-sample validation or real-fill testing before committing capital.</t>
  </si>
  <si>
    <t xml:space="preserve">Paper trading only</t>
  </si>
  <si>
    <t xml:space="preserve">No real orders are placed by this project without explicit go-ahead. This log is research/backtesting output only.</t>
  </si>
  <si>
    <t xml:space="preserve">How to re-run</t>
  </si>
  <si>
    <t xml:space="preserve">GitHub Actions -&gt; 'Run Strategy Backtests' workflow (workflow_dispatch) in this repo re-hits the live server and prints fresh JSON to the job log — used to produce this sheet, since Claude sessions here cannot reach the Render host directly (egress-blocked).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</si>
</sst>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.00;\(#,##0.00\);\-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8" min="17" style="0" width="13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1" min="21" style="0" width="20"/>
    <col collapsed="false" customWidth="true" hidden="false" outlineLevel="0" max="22" min="22" style="0" width="16"/>
    <col collapsed="false" customWidth="true" hidden="false" outlineLevel="0" max="23" min="23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60" hidden="false" customHeight="true" outlineLevel="0" collapsed="false">
      <c r="A2" s="2" t="n">
        <v>1</v>
      </c>
      <c r="B2" s="2" t="s">
        <v>23</v>
      </c>
      <c r="C2" s="2" t="s">
        <v>24</v>
      </c>
      <c r="D2" s="2" t="s">
        <v>25</v>
      </c>
      <c r="E2" s="3" t="n">
        <v>57409.6</v>
      </c>
      <c r="F2" s="3" t="n">
        <v>57631.44</v>
      </c>
      <c r="G2" s="3" t="n">
        <v>57624.78</v>
      </c>
      <c r="H2" s="4" t="n">
        <v>0.08</v>
      </c>
      <c r="I2" s="4" t="n">
        <v>0.0619</v>
      </c>
      <c r="J2" s="2" t="n">
        <v>15</v>
      </c>
      <c r="K2" s="2" t="s">
        <v>26</v>
      </c>
      <c r="L2" s="2" t="n">
        <v>84</v>
      </c>
      <c r="M2" s="4" t="n">
        <v>0.44</v>
      </c>
      <c r="N2" s="5" t="n">
        <v>78.7</v>
      </c>
      <c r="O2" s="5" t="n">
        <v>6610.63</v>
      </c>
      <c r="P2" s="5" t="n">
        <v>-3839.88</v>
      </c>
      <c r="Q2" s="5" t="n">
        <v>1292.71</v>
      </c>
      <c r="R2" s="5" t="n">
        <v>-708.55</v>
      </c>
      <c r="S2" s="5" t="n">
        <v>-569.39</v>
      </c>
      <c r="T2" s="6" t="n">
        <f aca="false">IFERROR(N2/ABS(S2),"n/a")</f>
        <v>0.138218093046945</v>
      </c>
      <c r="U2" s="7" t="s">
        <v>27</v>
      </c>
      <c r="V2" s="8" t="str">
        <f aca="false">IF(AND(M2&gt;=0.5,N2&gt;0),"Robust — keep",IF(OR(M2&gt;=0.5,N2&gt;0),"Marginal","Not robust — drop"))</f>
        <v>Marginal</v>
      </c>
      <c r="W2" s="7" t="s">
        <v>28</v>
      </c>
    </row>
    <row r="3" customFormat="false" ht="60" hidden="false" customHeight="true" outlineLevel="0" collapsed="false">
      <c r="A3" s="2" t="n">
        <v>2</v>
      </c>
      <c r="B3" s="2" t="s">
        <v>29</v>
      </c>
      <c r="C3" s="2" t="s">
        <v>30</v>
      </c>
      <c r="D3" s="2" t="s">
        <v>31</v>
      </c>
      <c r="E3" s="3" t="n">
        <v>76944.28</v>
      </c>
      <c r="F3" s="3" t="n">
        <v>77775.06</v>
      </c>
      <c r="G3" s="3" t="n">
        <v>77461.24</v>
      </c>
      <c r="H3" s="4" t="n">
        <v>0.0602</v>
      </c>
      <c r="I3" s="4" t="n">
        <v>0.0465</v>
      </c>
      <c r="J3" s="2" t="n">
        <v>15</v>
      </c>
      <c r="K3" s="2" t="s">
        <v>26</v>
      </c>
      <c r="L3" s="2" t="n">
        <v>84</v>
      </c>
      <c r="M3" s="4" t="n">
        <v>0.345</v>
      </c>
      <c r="N3" s="5" t="n">
        <v>102.1</v>
      </c>
      <c r="O3" s="5" t="n">
        <v>8576.5</v>
      </c>
      <c r="P3" s="5" t="n">
        <v>-10306.31</v>
      </c>
      <c r="Q3" s="5" t="n">
        <v>2182.29</v>
      </c>
      <c r="R3" s="5" t="n">
        <v>-908.05</v>
      </c>
      <c r="S3" s="5" t="n">
        <v>-670.16</v>
      </c>
      <c r="T3" s="6" t="n">
        <f aca="false">IFERROR(N3/ABS(S3),"n/a")</f>
        <v>0.152351677211412</v>
      </c>
      <c r="U3" s="7" t="s">
        <v>27</v>
      </c>
      <c r="V3" s="8" t="str">
        <f aca="false">IF(AND(M3&gt;=0.5,N3&gt;0),"Robust — keep",IF(OR(M3&gt;=0.5,N3&gt;0),"Marginal","Not robust — drop"))</f>
        <v>Marginal</v>
      </c>
      <c r="W3" s="7" t="s">
        <v>32</v>
      </c>
    </row>
    <row r="4" customFormat="false" ht="60" hidden="false" customHeight="true" outlineLevel="0" collapsed="false">
      <c r="A4" s="2" t="n">
        <v>3</v>
      </c>
      <c r="B4" s="2" t="s">
        <v>33</v>
      </c>
      <c r="C4" s="2" t="s">
        <v>34</v>
      </c>
      <c r="D4" s="2" t="s">
        <v>35</v>
      </c>
      <c r="E4" s="3" t="n">
        <v>24055.8</v>
      </c>
      <c r="F4" s="3" t="n">
        <v>24334.63</v>
      </c>
      <c r="G4" s="3" t="n">
        <v>24207.14</v>
      </c>
      <c r="H4" s="4" t="n">
        <v>0.0504</v>
      </c>
      <c r="I4" s="4" t="n">
        <v>0.0403</v>
      </c>
      <c r="J4" s="2" t="n">
        <v>15</v>
      </c>
      <c r="K4" s="2" t="s">
        <v>26</v>
      </c>
      <c r="L4" s="2" t="n">
        <v>84</v>
      </c>
      <c r="M4" s="4" t="n">
        <v>0.464</v>
      </c>
      <c r="N4" s="5" t="n">
        <v>46.44</v>
      </c>
      <c r="O4" s="5" t="n">
        <v>3900.9</v>
      </c>
      <c r="P4" s="5" t="n">
        <v>-3680.6</v>
      </c>
      <c r="Q4" s="5" t="n">
        <v>1815.02</v>
      </c>
      <c r="R4" s="5" t="n">
        <v>-1113.6</v>
      </c>
      <c r="S4" s="9"/>
      <c r="T4" s="8" t="s">
        <v>36</v>
      </c>
      <c r="U4" s="7" t="s">
        <v>27</v>
      </c>
      <c r="V4" s="8" t="str">
        <f aca="false">IF(AND(M4&gt;=0.5,N4&gt;0),"Robust — keep",IF(OR(M4&gt;=0.5,N4&gt;0),"Marginal","Not robust — drop"))</f>
        <v>Marginal</v>
      </c>
      <c r="W4" s="7" t="s">
        <v>37</v>
      </c>
    </row>
    <row r="5" customFormat="false" ht="60" hidden="false" customHeight="true" outlineLevel="0" collapsed="false">
      <c r="A5" s="2" t="n">
        <v>4</v>
      </c>
      <c r="B5" s="2" t="s">
        <v>38</v>
      </c>
      <c r="C5" s="2" t="s">
        <v>30</v>
      </c>
      <c r="D5" s="2" t="s">
        <v>39</v>
      </c>
      <c r="E5" s="3" t="n">
        <v>76944.28</v>
      </c>
      <c r="F5" s="3" t="n">
        <v>77775.06</v>
      </c>
      <c r="G5" s="3" t="n">
        <v>77461.24</v>
      </c>
      <c r="H5" s="4" t="n">
        <v>0.0602</v>
      </c>
      <c r="I5" s="4" t="n">
        <v>0.0465</v>
      </c>
      <c r="J5" s="2" t="n">
        <v>15</v>
      </c>
      <c r="K5" s="2" t="s">
        <v>26</v>
      </c>
      <c r="L5" s="2" t="n">
        <v>84</v>
      </c>
      <c r="M5" s="4" t="n">
        <v>0.905</v>
      </c>
      <c r="N5" s="5" t="n">
        <v>-103.08</v>
      </c>
      <c r="O5" s="5" t="n">
        <v>-8658.49</v>
      </c>
      <c r="P5" s="5" t="n">
        <v>-13371.2</v>
      </c>
      <c r="Q5" s="5" t="n">
        <v>977.86</v>
      </c>
      <c r="R5" s="5" t="n">
        <v>-4442.91</v>
      </c>
      <c r="S5" s="5" t="n">
        <v>-74579</v>
      </c>
      <c r="T5" s="6" t="n">
        <f aca="false">IFERROR(N5/ABS(S5),"n/a")</f>
        <v>-0.00138215851647247</v>
      </c>
      <c r="U5" s="7" t="s">
        <v>40</v>
      </c>
      <c r="V5" s="8" t="str">
        <f aca="false">IF(AND(M5&gt;=0.5,N5&gt;0),"Robust — keep",IF(OR(M5&gt;=0.5,N5&gt;0),"Marginal","Not robust — drop"))</f>
        <v>Marginal</v>
      </c>
      <c r="W5" s="7" t="s">
        <v>41</v>
      </c>
    </row>
    <row r="6" customFormat="false" ht="60" hidden="false" customHeight="true" outlineLevel="0" collapsed="false">
      <c r="A6" s="2" t="n">
        <v>5</v>
      </c>
      <c r="B6" s="2" t="s">
        <v>42</v>
      </c>
      <c r="C6" s="2" t="s">
        <v>34</v>
      </c>
      <c r="D6" s="2" t="s">
        <v>43</v>
      </c>
      <c r="E6" s="3" t="n">
        <v>24055.8</v>
      </c>
      <c r="F6" s="3" t="n">
        <v>24334.63</v>
      </c>
      <c r="G6" s="3" t="n">
        <v>24207.14</v>
      </c>
      <c r="H6" s="4" t="n">
        <v>0.0504</v>
      </c>
      <c r="I6" s="4" t="n">
        <v>0.0403</v>
      </c>
      <c r="J6" s="2" t="n">
        <v>15</v>
      </c>
      <c r="K6" s="2" t="s">
        <v>26</v>
      </c>
      <c r="L6" s="2" t="n">
        <v>84</v>
      </c>
      <c r="M6" s="4" t="n">
        <v>0.893</v>
      </c>
      <c r="N6" s="5" t="n">
        <v>-34.36</v>
      </c>
      <c r="O6" s="5" t="n">
        <v>-2886.53</v>
      </c>
      <c r="P6" s="5" t="n">
        <v>-4609.11</v>
      </c>
      <c r="Q6" s="5" t="n">
        <v>298.67</v>
      </c>
      <c r="R6" s="5" t="n">
        <v>-971.81</v>
      </c>
      <c r="S6" s="5" t="n">
        <v>-934.4</v>
      </c>
      <c r="T6" s="6" t="n">
        <f aca="false">IFERROR(N6/ABS(S6),"n/a")</f>
        <v>-0.0367722602739726</v>
      </c>
      <c r="U6" s="7" t="s">
        <v>27</v>
      </c>
      <c r="V6" s="8" t="str">
        <f aca="false">IF(AND(M6&gt;=0.5,N6&gt;0),"Robust — keep",IF(OR(M6&gt;=0.5,N6&gt;0),"Marginal","Not robust — drop"))</f>
        <v>Marginal</v>
      </c>
      <c r="W6" s="7" t="s">
        <v>44</v>
      </c>
    </row>
    <row r="7" customFormat="false" ht="60" hidden="false" customHeight="true" outlineLevel="0" collapsed="false">
      <c r="A7" s="2" t="n">
        <v>6</v>
      </c>
      <c r="B7" s="2" t="s">
        <v>45</v>
      </c>
      <c r="C7" s="2" t="s">
        <v>24</v>
      </c>
      <c r="D7" s="2" t="s">
        <v>46</v>
      </c>
      <c r="E7" s="3" t="n">
        <v>57409.6</v>
      </c>
      <c r="F7" s="3" t="n">
        <v>57631.44</v>
      </c>
      <c r="G7" s="3" t="n">
        <v>57624.78</v>
      </c>
      <c r="H7" s="4" t="n">
        <v>0.08</v>
      </c>
      <c r="I7" s="4" t="n">
        <v>0.0619</v>
      </c>
      <c r="J7" s="2" t="n">
        <v>15</v>
      </c>
      <c r="K7" s="2" t="s">
        <v>26</v>
      </c>
      <c r="L7" s="2" t="n">
        <v>84</v>
      </c>
      <c r="M7" s="4" t="n">
        <v>0.583</v>
      </c>
      <c r="N7" s="5" t="n">
        <v>326.44</v>
      </c>
      <c r="O7" s="5" t="n">
        <v>27420.75</v>
      </c>
      <c r="P7" s="5" t="n">
        <v>-9279.93</v>
      </c>
      <c r="Q7" s="5" t="n">
        <v>4725.84</v>
      </c>
      <c r="R7" s="5" t="n">
        <v>-2603.99</v>
      </c>
      <c r="S7" s="5" t="n">
        <v>-1832.47</v>
      </c>
      <c r="T7" s="6" t="n">
        <f aca="false">IFERROR(N7/ABS(S7),"n/a")</f>
        <v>0.178142070538672</v>
      </c>
      <c r="U7" s="7" t="s">
        <v>27</v>
      </c>
      <c r="V7" s="8" t="str">
        <f aca="false">IF(AND(M7&gt;=0.5,N7&gt;0),"Robust — keep",IF(OR(M7&gt;=0.5,N7&gt;0),"Marginal","Not robust — drop"))</f>
        <v>Robust — keep</v>
      </c>
      <c r="W7" s="7" t="s">
        <v>47</v>
      </c>
    </row>
    <row r="8" customFormat="false" ht="60" hidden="false" customHeight="true" outlineLevel="0" collapsed="false">
      <c r="A8" s="2" t="n">
        <v>7</v>
      </c>
      <c r="B8" s="2" t="s">
        <v>48</v>
      </c>
      <c r="C8" s="2" t="s">
        <v>24</v>
      </c>
      <c r="D8" s="2" t="s">
        <v>49</v>
      </c>
      <c r="E8" s="3" t="n">
        <v>57409.6</v>
      </c>
      <c r="F8" s="3" t="n">
        <v>57631.44</v>
      </c>
      <c r="G8" s="3" t="n">
        <v>57624.78</v>
      </c>
      <c r="H8" s="4" t="n">
        <v>0.08</v>
      </c>
      <c r="I8" s="4" t="n">
        <v>0.0619</v>
      </c>
      <c r="J8" s="2" t="n">
        <v>15</v>
      </c>
      <c r="K8" s="2" t="s">
        <v>26</v>
      </c>
      <c r="L8" s="2" t="n">
        <v>84</v>
      </c>
      <c r="M8" s="4" t="n">
        <v>0.655</v>
      </c>
      <c r="N8" s="5" t="n">
        <v>60.62</v>
      </c>
      <c r="O8" s="5" t="n">
        <v>5091.99</v>
      </c>
      <c r="P8" s="5" t="n">
        <v>-23791.24</v>
      </c>
      <c r="Q8" s="5" t="n">
        <v>2341.23</v>
      </c>
      <c r="R8" s="5" t="n">
        <v>-8928.93</v>
      </c>
      <c r="S8" s="5" t="n">
        <v>-28722.23</v>
      </c>
      <c r="T8" s="6" t="n">
        <f aca="false">IFERROR(N8/ABS(S8),"n/a")</f>
        <v>0.00211056035690822</v>
      </c>
      <c r="U8" s="7" t="s">
        <v>50</v>
      </c>
      <c r="V8" s="8" t="str">
        <f aca="false">IF(AND(M8&gt;=0.5,N8&gt;0),"Robust — keep",IF(OR(M8&gt;=0.5,N8&gt;0),"Marginal","Not robust — drop"))</f>
        <v>Robust — keep</v>
      </c>
      <c r="W8" s="7" t="s">
        <v>51</v>
      </c>
    </row>
    <row r="9" customFormat="false" ht="60" hidden="false" customHeight="true" outlineLevel="0" collapsed="false">
      <c r="A9" s="2" t="n">
        <v>8</v>
      </c>
      <c r="B9" s="2" t="s">
        <v>52</v>
      </c>
      <c r="C9" s="2" t="s">
        <v>24</v>
      </c>
      <c r="D9" s="2" t="s">
        <v>53</v>
      </c>
      <c r="E9" s="3" t="n">
        <v>57409.6</v>
      </c>
      <c r="F9" s="3" t="n">
        <v>57631.44</v>
      </c>
      <c r="G9" s="3" t="n">
        <v>57624.78</v>
      </c>
      <c r="H9" s="4" t="n">
        <v>0.08</v>
      </c>
      <c r="I9" s="4" t="n">
        <v>0.0619</v>
      </c>
      <c r="J9" s="2" t="n">
        <v>15</v>
      </c>
      <c r="K9" s="2" t="s">
        <v>26</v>
      </c>
      <c r="L9" s="2" t="n">
        <v>84</v>
      </c>
      <c r="M9" s="4" t="n">
        <v>0.643</v>
      </c>
      <c r="N9" s="5" t="n">
        <v>218.22</v>
      </c>
      <c r="O9" s="5" t="n">
        <v>18330.3</v>
      </c>
      <c r="P9" s="5" t="n">
        <v>-9017.02</v>
      </c>
      <c r="Q9" s="5" t="n">
        <v>1726.11</v>
      </c>
      <c r="R9" s="5" t="n">
        <v>-1777.07</v>
      </c>
      <c r="S9" s="5" t="n">
        <v>-1684.72</v>
      </c>
      <c r="T9" s="6" t="n">
        <f aca="false">IFERROR(N9/ABS(S9),"n/a")</f>
        <v>0.129528942494895</v>
      </c>
      <c r="U9" s="7" t="s">
        <v>27</v>
      </c>
      <c r="V9" s="8" t="str">
        <f aca="false">IF(AND(M9&gt;=0.5,N9&gt;0),"Robust — keep",IF(OR(M9&gt;=0.5,N9&gt;0),"Marginal","Not robust — drop"))</f>
        <v>Robust — keep</v>
      </c>
      <c r="W9" s="7" t="s">
        <v>54</v>
      </c>
    </row>
    <row r="10" customFormat="false" ht="60" hidden="false" customHeight="true" outlineLevel="0" collapsed="false">
      <c r="A10" s="2" t="n">
        <v>9</v>
      </c>
      <c r="B10" s="2" t="s">
        <v>55</v>
      </c>
      <c r="C10" s="2" t="s">
        <v>34</v>
      </c>
      <c r="D10" s="2" t="s">
        <v>56</v>
      </c>
      <c r="E10" s="10"/>
      <c r="F10" s="10"/>
      <c r="G10" s="10"/>
      <c r="H10" s="11"/>
      <c r="I10" s="11"/>
      <c r="J10" s="8"/>
      <c r="K10" s="2" t="s">
        <v>36</v>
      </c>
      <c r="L10" s="8"/>
      <c r="M10" s="11"/>
      <c r="N10" s="9"/>
      <c r="O10" s="9"/>
      <c r="P10" s="9"/>
      <c r="Q10" s="9"/>
      <c r="R10" s="9"/>
      <c r="S10" s="9"/>
      <c r="T10" s="8" t="s">
        <v>36</v>
      </c>
      <c r="U10" s="7" t="s">
        <v>36</v>
      </c>
      <c r="V10" s="8" t="s">
        <v>57</v>
      </c>
      <c r="W10" s="7" t="s">
        <v>58</v>
      </c>
    </row>
    <row r="11" customFormat="false" ht="60" hidden="false" customHeight="true" outlineLevel="0" collapsed="false">
      <c r="A11" s="2" t="n">
        <v>10</v>
      </c>
      <c r="B11" s="2" t="s">
        <v>59</v>
      </c>
      <c r="C11" s="2" t="s">
        <v>34</v>
      </c>
      <c r="D11" s="2" t="s">
        <v>43</v>
      </c>
      <c r="E11" s="3" t="n">
        <v>24055.8</v>
      </c>
      <c r="F11" s="3" t="n">
        <v>24334.63</v>
      </c>
      <c r="G11" s="3" t="n">
        <v>24207.14</v>
      </c>
      <c r="H11" s="4" t="n">
        <v>0.0504</v>
      </c>
      <c r="I11" s="4" t="n">
        <v>0.0403</v>
      </c>
      <c r="J11" s="2" t="n">
        <v>15</v>
      </c>
      <c r="K11" s="2" t="s">
        <v>26</v>
      </c>
      <c r="L11" s="2" t="n">
        <v>84</v>
      </c>
      <c r="M11" s="4" t="n">
        <v>0.893</v>
      </c>
      <c r="N11" s="5" t="n">
        <v>-34.36</v>
      </c>
      <c r="O11" s="5" t="n">
        <v>-2886.53</v>
      </c>
      <c r="P11" s="5" t="n">
        <v>-4609.11</v>
      </c>
      <c r="Q11" s="5" t="n">
        <v>298.67</v>
      </c>
      <c r="R11" s="5" t="n">
        <v>-971.81</v>
      </c>
      <c r="S11" s="5" t="n">
        <v>-934.4</v>
      </c>
      <c r="T11" s="6" t="n">
        <f aca="false">IFERROR(N11/ABS(S11),"n/a")</f>
        <v>-0.0367722602739726</v>
      </c>
      <c r="U11" s="7" t="s">
        <v>27</v>
      </c>
      <c r="V11" s="8" t="str">
        <f aca="false">IF(AND(M11&gt;=0.5,N11&gt;0),"Robust — keep",IF(OR(M11&gt;=0.5,N11&gt;0),"Marginal","Not robust — drop"))</f>
        <v>Marginal</v>
      </c>
      <c r="W11" s="7" t="s">
        <v>60</v>
      </c>
    </row>
    <row r="12" customFormat="false" ht="60" hidden="false" customHeight="true" outlineLevel="0" collapsed="false">
      <c r="A12" s="2" t="n">
        <v>11</v>
      </c>
      <c r="B12" s="2" t="s">
        <v>61</v>
      </c>
      <c r="C12" s="2" t="s">
        <v>30</v>
      </c>
      <c r="D12" s="2" t="s">
        <v>43</v>
      </c>
      <c r="E12" s="3" t="n">
        <v>76944.28</v>
      </c>
      <c r="F12" s="3" t="n">
        <v>77775.06</v>
      </c>
      <c r="G12" s="3" t="n">
        <v>77461.24</v>
      </c>
      <c r="H12" s="4" t="n">
        <v>0.0602</v>
      </c>
      <c r="I12" s="4" t="n">
        <v>0.0465</v>
      </c>
      <c r="J12" s="2" t="n">
        <v>15</v>
      </c>
      <c r="K12" s="2" t="s">
        <v>26</v>
      </c>
      <c r="L12" s="2" t="n">
        <v>84</v>
      </c>
      <c r="M12" s="4" t="n">
        <v>0.881</v>
      </c>
      <c r="N12" s="5" t="n">
        <v>-98.4</v>
      </c>
      <c r="O12" s="5" t="n">
        <v>-8265.78</v>
      </c>
      <c r="P12" s="5" t="n">
        <v>-14310.27</v>
      </c>
      <c r="Q12" s="5" t="n">
        <v>958.87</v>
      </c>
      <c r="R12" s="5" t="n">
        <v>-3167.25</v>
      </c>
      <c r="S12" s="5" t="n">
        <v>-2983.01</v>
      </c>
      <c r="T12" s="6" t="n">
        <f aca="false">IFERROR(N12/ABS(S12),"n/a")</f>
        <v>-0.0329868153308236</v>
      </c>
      <c r="U12" s="7" t="s">
        <v>27</v>
      </c>
      <c r="V12" s="8" t="str">
        <f aca="false">IF(AND(M12&gt;=0.5,N12&gt;0),"Robust — keep",IF(OR(M12&gt;=0.5,N12&gt;0),"Marginal","Not robust — drop"))</f>
        <v>Marginal</v>
      </c>
      <c r="W12" s="7" t="s">
        <v>62</v>
      </c>
    </row>
    <row r="13" customFormat="false" ht="60" hidden="false" customHeight="true" outlineLevel="0" collapsed="false">
      <c r="A13" s="2" t="n">
        <v>12</v>
      </c>
      <c r="B13" s="2" t="s">
        <v>63</v>
      </c>
      <c r="C13" s="2" t="s">
        <v>24</v>
      </c>
      <c r="D13" s="2" t="s">
        <v>64</v>
      </c>
      <c r="E13" s="3" t="n">
        <v>57409.6</v>
      </c>
      <c r="F13" s="3" t="n">
        <v>57631.44</v>
      </c>
      <c r="G13" s="3" t="n">
        <v>57624.78</v>
      </c>
      <c r="H13" s="4" t="n">
        <v>0.08</v>
      </c>
      <c r="I13" s="4" t="n">
        <v>0.0619</v>
      </c>
      <c r="J13" s="2" t="n">
        <v>15</v>
      </c>
      <c r="K13" s="2" t="s">
        <v>26</v>
      </c>
      <c r="L13" s="2" t="n">
        <v>84</v>
      </c>
      <c r="M13" s="4" t="n">
        <v>0.869</v>
      </c>
      <c r="N13" s="5" t="n">
        <v>-66.86</v>
      </c>
      <c r="O13" s="5" t="n">
        <v>-5615.96</v>
      </c>
      <c r="P13" s="5" t="n">
        <v>-8770.94</v>
      </c>
      <c r="Q13" s="5" t="n">
        <v>464.33</v>
      </c>
      <c r="R13" s="5" t="n">
        <v>-1712.63</v>
      </c>
      <c r="S13" s="5" t="n">
        <v>-1638.53</v>
      </c>
      <c r="T13" s="6" t="n">
        <f aca="false">IFERROR(N13/ABS(S13),"n/a")</f>
        <v>-0.0408048677778252</v>
      </c>
      <c r="U13" s="7" t="s">
        <v>27</v>
      </c>
      <c r="V13" s="8" t="str">
        <f aca="false">IF(AND(M13&gt;=0.5,N13&gt;0),"Robust — keep",IF(OR(M13&gt;=0.5,N13&gt;0),"Marginal","Not robust — drop"))</f>
        <v>Marginal</v>
      </c>
      <c r="W13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2" t="s">
        <v>66</v>
      </c>
      <c r="B1" s="12"/>
    </row>
    <row r="3" customFormat="false" ht="18" hidden="false" customHeight="true" outlineLevel="0" collapsed="false">
      <c r="A3" s="13" t="s">
        <v>67</v>
      </c>
      <c r="B3" s="14" t="s">
        <v>68</v>
      </c>
    </row>
    <row r="4" customFormat="false" ht="30" hidden="false" customHeight="true" outlineLevel="0" collapsed="false">
      <c r="A4" s="13" t="s">
        <v>69</v>
      </c>
      <c r="B4" s="14" t="s">
        <v>70</v>
      </c>
    </row>
    <row r="5" customFormat="false" ht="75" hidden="false" customHeight="true" outlineLevel="0" collapsed="false">
      <c r="A5" s="13" t="s">
        <v>71</v>
      </c>
      <c r="B5" s="14" t="s">
        <v>72</v>
      </c>
    </row>
    <row r="6" customFormat="false" ht="30" hidden="false" customHeight="true" outlineLevel="0" collapsed="false">
      <c r="A6" s="13" t="s">
        <v>73</v>
      </c>
      <c r="B6" s="14" t="s">
        <v>74</v>
      </c>
    </row>
    <row r="7" customFormat="false" ht="30" hidden="false" customHeight="true" outlineLevel="0" collapsed="false">
      <c r="A7" s="13" t="s">
        <v>75</v>
      </c>
      <c r="B7" s="14" t="s">
        <v>76</v>
      </c>
    </row>
    <row r="8" customFormat="false" ht="45" hidden="false" customHeight="true" outlineLevel="0" collapsed="false">
      <c r="A8" s="13" t="s">
        <v>77</v>
      </c>
      <c r="B8" s="14" t="s">
        <v>78</v>
      </c>
    </row>
    <row r="9" customFormat="false" ht="90" hidden="false" customHeight="true" outlineLevel="0" collapsed="false">
      <c r="A9" s="13" t="s">
        <v>79</v>
      </c>
      <c r="B9" s="14" t="s">
        <v>80</v>
      </c>
    </row>
    <row r="10" customFormat="false" ht="90" hidden="false" customHeight="true" outlineLevel="0" collapsed="false">
      <c r="A10" s="13" t="s">
        <v>81</v>
      </c>
      <c r="B10" s="14" t="s">
        <v>82</v>
      </c>
    </row>
    <row r="11" customFormat="false" ht="30" hidden="false" customHeight="true" outlineLevel="0" collapsed="false">
      <c r="A11" s="13" t="s">
        <v>83</v>
      </c>
      <c r="B11" s="14" t="s">
        <v>84</v>
      </c>
    </row>
    <row r="12" customFormat="false" ht="90" hidden="false" customHeight="true" outlineLevel="0" collapsed="false">
      <c r="A12" s="13" t="s">
        <v>85</v>
      </c>
      <c r="B12" s="14" t="s">
        <v>86</v>
      </c>
    </row>
    <row r="13" customFormat="false" ht="60" hidden="false" customHeight="true" outlineLevel="0" collapsed="false">
      <c r="A13" s="13" t="s">
        <v>87</v>
      </c>
      <c r="B13" s="14" t="s">
        <v>88</v>
      </c>
    </row>
    <row r="14" customFormat="false" ht="30" hidden="false" customHeight="true" outlineLevel="0" collapsed="false">
      <c r="A14" s="13" t="s">
        <v>89</v>
      </c>
      <c r="B14" s="14" t="s">
        <v>90</v>
      </c>
    </row>
    <row r="15" customFormat="false" ht="60" hidden="false" customHeight="true" outlineLevel="0" collapsed="false">
      <c r="A15" s="13" t="s">
        <v>91</v>
      </c>
      <c r="B15" s="14" t="s">
        <v>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2026-09-02T02:59:45Z</dcterms:created>
  <dc:creator>openpyxl</dc:creator>
  <dc:description/>
  <dc:language>en-US</dc:language>
  <cp:lastModifiedBy/>
  <dcterms:modified xsi:type="dcterms:W3CDTF">2026-09-02T02:59:45Z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