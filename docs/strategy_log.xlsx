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<sst xmlns="http://schemas.openxmlformats.org/spreadsheetml/2006/main" count="133" uniqueCount="61">
  <si>
    <t xml:space="preserve">Date Tested</t>
  </si>
  <si>
    <t xml:space="preserve">Strategy Name</t>
  </si>
  <si>
    <t xml:space="preserve">Category</t>
  </si>
  <si>
    <t xml:space="preserve">Source / Inspiration</t>
  </si>
  <si>
    <t xml:space="preserve">Symbol(s) Tested</t>
  </si>
  <si>
    <t xml:space="preserve">Parameters</t>
  </si>
  <si>
    <t xml:space="preserve">Data Window</t>
  </si>
  <si>
    <t xml:space="preserve">Win Rate</t>
  </si>
  <si>
    <t xml:space="preserve">Trades (n)</t>
  </si>
  <si>
    <t xml:space="preserve">Backtest P&amp;L (INR)</t>
  </si>
  <si>
    <t xml:space="preserve">% Swept Combos Profitable</t>
  </si>
  <si>
    <t xml:space="preserve">Verdict</t>
  </si>
  <si>
    <t xml:space="preserve">Currently Live?</t>
  </si>
  <si>
    <t xml:space="preserve">Notes / Caveats</t>
  </si>
  <si>
    <t xml:space="preserve">2026-09-02</t>
  </si>
  <si>
    <t xml:space="preserve">ORB breakout + SMA trend filter</t>
  </si>
  <si>
    <t xml:space="preserve">Breakout + trend filter</t>
  </si>
  <si>
    <t xml:space="preserve">Original strategy design, this project</t>
  </si>
  <si>
    <t xml:space="preserve">NIFTY (^NSEI)</t>
  </si>
  <si>
    <t xml:space="preserve">orb=15m, sma 9/21 (default)</t>
  </si>
  <si>
    <t xml:space="preserve">60d, 5m bars</t>
  </si>
  <si>
    <t xml:space="preserve">Positive baseline</t>
  </si>
  <si>
    <t xml:space="preserve">No</t>
  </si>
  <si>
    <t xml:space="preserve">Un-tuned default params; superseded by the swept-params row below.</t>
  </si>
  <si>
    <t xml:space="preserve">BANKNIFTY (^NSEBANK)</t>
  </si>
  <si>
    <t xml:space="preserve">SENSEX (^BSESN)</t>
  </si>
  <si>
    <t xml:space="preserve">ORB breakout + SMA trend filter (tuned)</t>
  </si>
  <si>
    <t xml:space="preserve">Param sweep vs 24 combos, this project</t>
  </si>
  <si>
    <t xml:space="preserve">orb=30m, sma 5/50</t>
  </si>
  <si>
    <t xml:space="preserve">Adopted — live</t>
  </si>
  <si>
    <t xml:space="preserve">Yes</t>
  </si>
  <si>
    <t xml:space="preserve">Median P&amp;L across all swept combos +253.88 — robust, not a lone spike.</t>
  </si>
  <si>
    <t xml:space="preserve">orb=5m, sma 9/50</t>
  </si>
  <si>
    <t xml:space="preserve">100% of swept combos profitable — wants a much shorter opening range than NIFTY/SENSEX.</t>
  </si>
  <si>
    <t xml:space="preserve">orb=30m, sma 20/50</t>
  </si>
  <si>
    <t xml:space="preserve">Median P&amp;L across all swept combos +479.81.</t>
  </si>
  <si>
    <t xml:space="preserve">MACD crossover</t>
  </si>
  <si>
    <t xml:space="preserve">Momentum / oscillator</t>
  </si>
  <si>
    <t xml:space="preserve">Classic MACD(12,26,9) crossover</t>
  </si>
  <si>
    <t xml:space="preserve">12/26/9</t>
  </si>
  <si>
    <t xml:space="preserve">Rejected</t>
  </si>
  <si>
    <t xml:space="preserve">Win rate 28-36% across all 3 indices; negative P&amp;L on every one.</t>
  </si>
  <si>
    <t xml:space="preserve">VWAP reclaim</t>
  </si>
  <si>
    <t xml:space="preserve">Volume / VWAP</t>
  </si>
  <si>
    <t xml:space="preserve">Common intraday VWAP-reversion setup</t>
  </si>
  <si>
    <t xml:space="preserve">NIFTY/BANKNIFTY/SENSEX (indices)</t>
  </si>
  <si>
    <t xml:space="preserve">n/a</t>
  </si>
  <si>
    <t xml:space="preserve">Untestable on this data</t>
  </si>
  <si>
    <t xml:space="preserve">Yahoo reports zero volume for index tickers - VWAP undefined. Re-test on individual NSE stocks, which do report real volume.</t>
  </si>
  <si>
    <t xml:space="preserve">ORB + volume confirmation</t>
  </si>
  <si>
    <t xml:space="preserve">Breakout + volume</t>
  </si>
  <si>
    <t xml:space="preserve">Volume-confirmed breakout variant</t>
  </si>
  <si>
    <t xml:space="preserve">Same zero-volume issue as VWAP reclaim - re-test on individual NSE stocks.</t>
  </si>
  <si>
    <t xml:space="preserve">Strategy Research Summary</t>
  </si>
  <si>
    <t xml:space="preserve">Total strategy/symbol tests logged</t>
  </si>
  <si>
    <t xml:space="preserve">Currently live (adopted)</t>
  </si>
  <si>
    <t xml:space="preserve">Untestable on current data</t>
  </si>
  <si>
    <t xml:space="preserve">Avg win rate, live strategies</t>
  </si>
  <si>
    <t xml:space="preserve">Avg backtest P&amp;L, live strategies (INR)</t>
  </si>
  <si>
    <t xml:space="preserve">How to use this sheet</t>
  </si>
  <si>
    <t xml:space="preserve">Strategy Log is the evidence-based record behind every live trading parameter in main.py's WATCHLIST. Nothing goes live without a row here showing real backtest results (win rate, P&amp;L, % of swept parameter combos profitable) - never adopt a strategy on reputation alone. The Research Agent (independent Claude session, daily) appends a new row every time it tests a candidate strategy, whether it's adopted, rejected, or inconclusive - so this sheet is the single place to browse everything that's been tried, pick a strategy with real evidence behind it, and see why the current live params were chosen over the alternatives.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</si>
</sst>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.0%"/>
    <numFmt numFmtId="167" formatCode="General"/>
    <numFmt numFmtId="168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C6EFCE"/>
        <bgColor rgb="FFD3D9E2"/>
      </patternFill>
    </fill>
    <fill>
      <patternFill patternType="solid">
        <fgColor rgb="FFFFC7CE"/>
        <bgColor rgb="FFD3D9E2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9E2"/>
      </left>
      <right style="thin">
        <color rgb="FFD3D9E2"/>
      </right>
      <top style="thin">
        <color rgb="FFD3D9E2"/>
      </top>
      <bottom style="thin">
        <color rgb="FFD3D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/>
      <c r="J2" s="3" t="n">
        <v>195.9</v>
      </c>
      <c r="K2" s="2"/>
      <c r="L2" s="2" t="s">
        <v>21</v>
      </c>
      <c r="M2" s="2" t="s">
        <v>22</v>
      </c>
      <c r="N2" s="2" t="s">
        <v>23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24</v>
      </c>
      <c r="F3" s="2" t="s">
        <v>19</v>
      </c>
      <c r="G3" s="2" t="s">
        <v>20</v>
      </c>
      <c r="H3" s="2"/>
      <c r="I3" s="2"/>
      <c r="J3" s="3" t="n">
        <v>1686.55</v>
      </c>
      <c r="K3" s="2"/>
      <c r="L3" s="2" t="s">
        <v>21</v>
      </c>
      <c r="M3" s="2" t="s">
        <v>22</v>
      </c>
      <c r="N3" s="2" t="s">
        <v>23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/>
      <c r="I4" s="2"/>
      <c r="J4" s="3" t="n">
        <v>456.58</v>
      </c>
      <c r="K4" s="2"/>
      <c r="L4" s="2" t="s">
        <v>21</v>
      </c>
      <c r="M4" s="2" t="s">
        <v>22</v>
      </c>
      <c r="N4" s="2" t="s">
        <v>23</v>
      </c>
    </row>
    <row r="5" customFormat="false" ht="23.85" hidden="false" customHeight="false" outlineLevel="0" collapsed="false">
      <c r="A5" s="2" t="s">
        <v>14</v>
      </c>
      <c r="B5" s="2" t="s">
        <v>26</v>
      </c>
      <c r="C5" s="2" t="s">
        <v>16</v>
      </c>
      <c r="D5" s="2" t="s">
        <v>27</v>
      </c>
      <c r="E5" s="2" t="s">
        <v>18</v>
      </c>
      <c r="F5" s="2" t="s">
        <v>28</v>
      </c>
      <c r="G5" s="2" t="s">
        <v>20</v>
      </c>
      <c r="H5" s="4" t="n">
        <v>0.562</v>
      </c>
      <c r="I5" s="2" t="n">
        <v>32</v>
      </c>
      <c r="J5" s="3" t="n">
        <v>593.6</v>
      </c>
      <c r="K5" s="4" t="n">
        <v>0.958</v>
      </c>
      <c r="L5" s="5" t="s">
        <v>29</v>
      </c>
      <c r="M5" s="2" t="s">
        <v>30</v>
      </c>
      <c r="N5" s="2" t="s">
        <v>31</v>
      </c>
    </row>
    <row r="6" customFormat="false" ht="23.85" hidden="false" customHeight="false" outlineLevel="0" collapsed="false">
      <c r="A6" s="2" t="s">
        <v>14</v>
      </c>
      <c r="B6" s="2" t="s">
        <v>26</v>
      </c>
      <c r="C6" s="2" t="s">
        <v>16</v>
      </c>
      <c r="D6" s="2" t="s">
        <v>27</v>
      </c>
      <c r="E6" s="2" t="s">
        <v>24</v>
      </c>
      <c r="F6" s="2" t="s">
        <v>32</v>
      </c>
      <c r="G6" s="2" t="s">
        <v>20</v>
      </c>
      <c r="H6" s="4" t="n">
        <v>0.516</v>
      </c>
      <c r="I6" s="2" t="n">
        <v>31</v>
      </c>
      <c r="J6" s="3" t="n">
        <v>3087.9</v>
      </c>
      <c r="K6" s="4" t="n">
        <v>1</v>
      </c>
      <c r="L6" s="5" t="s">
        <v>29</v>
      </c>
      <c r="M6" s="2" t="s">
        <v>30</v>
      </c>
      <c r="N6" s="2" t="s">
        <v>33</v>
      </c>
    </row>
    <row r="7" customFormat="false" ht="23.85" hidden="false" customHeight="false" outlineLevel="0" collapsed="false">
      <c r="A7" s="2" t="s">
        <v>14</v>
      </c>
      <c r="B7" s="2" t="s">
        <v>26</v>
      </c>
      <c r="C7" s="2" t="s">
        <v>16</v>
      </c>
      <c r="D7" s="2" t="s">
        <v>27</v>
      </c>
      <c r="E7" s="2" t="s">
        <v>25</v>
      </c>
      <c r="F7" s="2" t="s">
        <v>34</v>
      </c>
      <c r="G7" s="2" t="s">
        <v>20</v>
      </c>
      <c r="H7" s="4" t="n">
        <v>0.607</v>
      </c>
      <c r="I7" s="2" t="n">
        <v>28</v>
      </c>
      <c r="J7" s="3" t="n">
        <v>1823.56</v>
      </c>
      <c r="K7" s="4" t="n">
        <v>0.958</v>
      </c>
      <c r="L7" s="5" t="s">
        <v>29</v>
      </c>
      <c r="M7" s="2" t="s">
        <v>30</v>
      </c>
      <c r="N7" s="2" t="s">
        <v>35</v>
      </c>
    </row>
    <row r="8" customFormat="false" ht="15" hidden="false" customHeight="false" outlineLevel="0" collapsed="false">
      <c r="A8" s="2" t="s">
        <v>14</v>
      </c>
      <c r="B8" s="2" t="s">
        <v>36</v>
      </c>
      <c r="C8" s="2" t="s">
        <v>37</v>
      </c>
      <c r="D8" s="2" t="s">
        <v>38</v>
      </c>
      <c r="E8" s="2" t="s">
        <v>18</v>
      </c>
      <c r="F8" s="2" t="s">
        <v>39</v>
      </c>
      <c r="G8" s="2" t="s">
        <v>20</v>
      </c>
      <c r="H8" s="4" t="n">
        <v>0.28</v>
      </c>
      <c r="I8" s="2"/>
      <c r="J8" s="3" t="n">
        <v>-164.35</v>
      </c>
      <c r="K8" s="2"/>
      <c r="L8" s="6" t="s">
        <v>40</v>
      </c>
      <c r="M8" s="2" t="s">
        <v>22</v>
      </c>
      <c r="N8" s="2" t="s">
        <v>41</v>
      </c>
    </row>
    <row r="9" customFormat="false" ht="23.85" hidden="false" customHeight="false" outlineLevel="0" collapsed="false">
      <c r="A9" s="2" t="s">
        <v>14</v>
      </c>
      <c r="B9" s="2" t="s">
        <v>36</v>
      </c>
      <c r="C9" s="2" t="s">
        <v>37</v>
      </c>
      <c r="D9" s="2" t="s">
        <v>38</v>
      </c>
      <c r="E9" s="2" t="s">
        <v>24</v>
      </c>
      <c r="F9" s="2" t="s">
        <v>39</v>
      </c>
      <c r="G9" s="2" t="s">
        <v>20</v>
      </c>
      <c r="H9" s="4" t="n">
        <v>0.32</v>
      </c>
      <c r="I9" s="2"/>
      <c r="J9" s="3" t="n">
        <v>-1120</v>
      </c>
      <c r="K9" s="2"/>
      <c r="L9" s="6" t="s">
        <v>40</v>
      </c>
      <c r="M9" s="2" t="s">
        <v>22</v>
      </c>
      <c r="N9" s="2" t="s">
        <v>41</v>
      </c>
    </row>
    <row r="10" customFormat="false" ht="15" hidden="false" customHeight="false" outlineLevel="0" collapsed="false">
      <c r="A10" s="2" t="s">
        <v>14</v>
      </c>
      <c r="B10" s="2" t="s">
        <v>36</v>
      </c>
      <c r="C10" s="2" t="s">
        <v>37</v>
      </c>
      <c r="D10" s="2" t="s">
        <v>38</v>
      </c>
      <c r="E10" s="2" t="s">
        <v>25</v>
      </c>
      <c r="F10" s="2" t="s">
        <v>39</v>
      </c>
      <c r="G10" s="2" t="s">
        <v>20</v>
      </c>
      <c r="H10" s="4" t="n">
        <v>0.36</v>
      </c>
      <c r="I10" s="2"/>
      <c r="J10" s="3" t="n">
        <v>-382.51</v>
      </c>
      <c r="K10" s="2"/>
      <c r="L10" s="6" t="s">
        <v>40</v>
      </c>
      <c r="M10" s="2" t="s">
        <v>22</v>
      </c>
      <c r="N10" s="2" t="s">
        <v>41</v>
      </c>
    </row>
    <row r="11" customFormat="false" ht="23.85" hidden="false" customHeight="false" outlineLevel="0" collapsed="false">
      <c r="A11" s="2" t="s">
        <v>14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20</v>
      </c>
      <c r="H11" s="2"/>
      <c r="I11" s="2"/>
      <c r="J11" s="3" t="n">
        <v>0</v>
      </c>
      <c r="K11" s="2"/>
      <c r="L11" s="7" t="s">
        <v>47</v>
      </c>
      <c r="M11" s="2" t="s">
        <v>22</v>
      </c>
      <c r="N11" s="2" t="s">
        <v>48</v>
      </c>
    </row>
    <row r="12" customFormat="false" ht="23.85" hidden="false" customHeight="false" outlineLevel="0" collapsed="false">
      <c r="A12" s="2" t="s">
        <v>14</v>
      </c>
      <c r="B12" s="2" t="s">
        <v>49</v>
      </c>
      <c r="C12" s="2" t="s">
        <v>50</v>
      </c>
      <c r="D12" s="2" t="s">
        <v>51</v>
      </c>
      <c r="E12" s="2" t="s">
        <v>45</v>
      </c>
      <c r="F12" s="2" t="s">
        <v>46</v>
      </c>
      <c r="G12" s="2" t="s">
        <v>20</v>
      </c>
      <c r="H12" s="2"/>
      <c r="I12" s="2"/>
      <c r="J12" s="3" t="n">
        <v>0</v>
      </c>
      <c r="K12" s="2"/>
      <c r="L12" s="7" t="s">
        <v>47</v>
      </c>
      <c r="M12" s="2" t="s">
        <v>22</v>
      </c>
      <c r="N12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8" t="s">
        <v>53</v>
      </c>
    </row>
    <row r="3" customFormat="false" ht="15" hidden="false" customHeight="false" outlineLevel="0" collapsed="false">
      <c r="A3" s="9" t="s">
        <v>54</v>
      </c>
      <c r="B3" s="10" t="n">
        <f aca="false">COUNTA('Strategy Log'!A2:A12)</f>
        <v>11</v>
      </c>
    </row>
    <row r="4" customFormat="false" ht="15" hidden="false" customHeight="false" outlineLevel="0" collapsed="false">
      <c r="A4" s="9" t="s">
        <v>55</v>
      </c>
      <c r="B4" s="10" t="n">
        <f aca="false">COUNTIF('Strategy Log'!M2:M12,"Yes")</f>
        <v>3</v>
      </c>
    </row>
    <row r="5" customFormat="false" ht="15" hidden="false" customHeight="false" outlineLevel="0" collapsed="false">
      <c r="A5" s="9" t="s">
        <v>40</v>
      </c>
      <c r="B5" s="10" t="n">
        <f aca="false">COUNTIF('Strategy Log'!L2:L12,"Rejected")</f>
        <v>3</v>
      </c>
    </row>
    <row r="6" customFormat="false" ht="15" hidden="false" customHeight="false" outlineLevel="0" collapsed="false">
      <c r="A6" s="9" t="s">
        <v>56</v>
      </c>
      <c r="B6" s="10" t="n">
        <f aca="false">COUNTIF('Strategy Log'!L2:L12,"Untestable on this data")</f>
        <v>2</v>
      </c>
    </row>
    <row r="7" customFormat="false" ht="15" hidden="false" customHeight="false" outlineLevel="0" collapsed="false">
      <c r="A7" s="9" t="s">
        <v>57</v>
      </c>
      <c r="B7" s="11" t="n">
        <f aca="false">IFERROR(AVERAGEIF('Strategy Log'!M2:M12,"Yes",'Strategy Log'!H2:H12),"n/a")</f>
        <v>0.561666666666667</v>
      </c>
    </row>
    <row r="8" customFormat="false" ht="15" hidden="false" customHeight="false" outlineLevel="0" collapsed="false">
      <c r="A8" s="9" t="s">
        <v>58</v>
      </c>
      <c r="B8" s="12" t="n">
        <f aca="false">IFERROR(AVERAGEIF('Strategy Log'!M2:M12,"Yes",'Strategy Log'!J2:J12),"n/a")</f>
        <v>1835.02</v>
      </c>
    </row>
    <row r="11" customFormat="false" ht="15" hidden="false" customHeight="false" outlineLevel="0" collapsed="false">
      <c r="A11" s="9" t="s">
        <v>59</v>
      </c>
    </row>
    <row r="12" customFormat="false" ht="15" hidden="false" customHeight="true" outlineLevel="0" collapsed="false">
      <c r="A12" s="13" t="s">
        <v>60</v>
      </c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</row>
  </sheetData>
  <mergeCells count="1">
    <mergeCell ref="A12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2026-09-03T02:47:56Z</dcterms:created>
  <dc:creator>openpyxl</dc:creator>
  <dc:description/>
  <dc:language>en-US</dc:language>
  <cp:lastModifiedBy/>
  <dcterms:modified xsi:type="dcterms:W3CDTF">2026-09-03T02:47:56Z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