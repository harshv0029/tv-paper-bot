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trategy Log" sheetId="1" state="visible" r:id="rId3"/>
    <sheet name="Summary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<sst xmlns="http://schemas.openxmlformats.org/spreadsheetml/2006/main" count="293" uniqueCount="116">
  <si>
    <t xml:space="preserve">Date Tested</t>
  </si>
  <si>
    <t xml:space="preserve">Strategy Name</t>
  </si>
  <si>
    <t xml:space="preserve">Category</t>
  </si>
  <si>
    <t xml:space="preserve">Source / Inspiration</t>
  </si>
  <si>
    <t xml:space="preserve">Symbol(s) Tested</t>
  </si>
  <si>
    <t xml:space="preserve">Parameters</t>
  </si>
  <si>
    <t xml:space="preserve">Data Window</t>
  </si>
  <si>
    <t xml:space="preserve">Win Rate</t>
  </si>
  <si>
    <t xml:space="preserve">Trades (n)</t>
  </si>
  <si>
    <t xml:space="preserve">Backtest P&amp;L (INR)</t>
  </si>
  <si>
    <t xml:space="preserve">% Swept Combos Profitable</t>
  </si>
  <si>
    <t xml:space="preserve">Verdict</t>
  </si>
  <si>
    <t xml:space="preserve">Currently Live?</t>
  </si>
  <si>
    <t xml:space="preserve">Notes / Caveats</t>
  </si>
  <si>
    <t xml:space="preserve">2026-09-02</t>
  </si>
  <si>
    <t xml:space="preserve">ORB breakout + SMA trend filter</t>
  </si>
  <si>
    <t xml:space="preserve">Breakout + trend filter</t>
  </si>
  <si>
    <t xml:space="preserve">Original strategy design, this project</t>
  </si>
  <si>
    <t xml:space="preserve">NIFTY (^NSEI)</t>
  </si>
  <si>
    <t xml:space="preserve">orb=15m, sma 9/21 (default)</t>
  </si>
  <si>
    <t xml:space="preserve">60d, 5m bars</t>
  </si>
  <si>
    <t xml:space="preserve">Positive baseline</t>
  </si>
  <si>
    <t xml:space="preserve">No</t>
  </si>
  <si>
    <t xml:space="preserve">Un-tuned default params; superseded by the swept-params row below.</t>
  </si>
  <si>
    <t xml:space="preserve">BANKNIFTY (^NSEBANK)</t>
  </si>
  <si>
    <t xml:space="preserve">SENSEX (^BSESN)</t>
  </si>
  <si>
    <t xml:space="preserve">ORB breakout + SMA trend filter (tuned)</t>
  </si>
  <si>
    <t xml:space="preserve">Param sweep vs 24 combos, this project</t>
  </si>
  <si>
    <t xml:space="preserve">orb=30m, sma 5/50</t>
  </si>
  <si>
    <t xml:space="preserve">Adopted — live</t>
  </si>
  <si>
    <t xml:space="preserve">Yes</t>
  </si>
  <si>
    <t xml:space="preserve">Median P&amp;L across all swept combos +253.88 — robust, not a lone spike.</t>
  </si>
  <si>
    <t xml:space="preserve">orb=5m, sma 9/50</t>
  </si>
  <si>
    <t xml:space="preserve">100% of swept combos profitable — wants a much shorter opening range than NIFTY/SENSEX.</t>
  </si>
  <si>
    <t xml:space="preserve">orb=30m, sma 20/50</t>
  </si>
  <si>
    <t xml:space="preserve">Median P&amp;L across all swept combos +479.81.</t>
  </si>
  <si>
    <t xml:space="preserve">MACD crossover</t>
  </si>
  <si>
    <t xml:space="preserve">Momentum / oscillator</t>
  </si>
  <si>
    <t xml:space="preserve">Classic MACD(12,26,9) crossover</t>
  </si>
  <si>
    <t xml:space="preserve">12/26/9</t>
  </si>
  <si>
    <t xml:space="preserve">Rejected</t>
  </si>
  <si>
    <t xml:space="preserve">Win rate 28-36% across all 3 indices; negative P&amp;L on every one.</t>
  </si>
  <si>
    <t xml:space="preserve">VWAP reclaim</t>
  </si>
  <si>
    <t xml:space="preserve">Volume / VWAP</t>
  </si>
  <si>
    <t xml:space="preserve">Common intraday VWAP-reversion setup</t>
  </si>
  <si>
    <t xml:space="preserve">NIFTY/BANKNIFTY/SENSEX (indices)</t>
  </si>
  <si>
    <t xml:space="preserve">n/a</t>
  </si>
  <si>
    <t xml:space="preserve">Untestable on this data</t>
  </si>
  <si>
    <t xml:space="preserve">Yahoo reports zero volume for index tickers - VWAP undefined. Re-test on individual NSE stocks, which do report real volume.</t>
  </si>
  <si>
    <t xml:space="preserve">ORB + volume confirmation</t>
  </si>
  <si>
    <t xml:space="preserve">Breakout + volume</t>
  </si>
  <si>
    <t xml:space="preserve">Volume-confirmed breakout variant</t>
  </si>
  <si>
    <t xml:space="preserve">Same zero-volume issue as VWAP reclaim - re-test on individual NSE stocks.</t>
  </si>
  <si>
    <t xml:space="preserve">2026-09-03</t>
  </si>
  <si>
    <t xml:space="preserve">Bullish engulfing (candlestick)</t>
  </si>
  <si>
    <t xml:space="preserve">Price action</t>
  </si>
  <si>
    <t xml:space="preserve">liberatedstocktrader.com, tradingrush.net</t>
  </si>
  <si>
    <t xml:space="preserve">trend_sma=0 (best of 3)</t>
  </si>
  <si>
    <t xml:space="preserve">Rejected — not robust</t>
  </si>
  <si>
    <t xml:space="preserve">Only 33.3% of swept trend_sma combos profitable; trend_sma=50 lost -380.8. The +270.65 top result looks like a lone spike, not a real edge.</t>
  </si>
  <si>
    <t xml:space="preserve">Promising — needs more validation</t>
  </si>
  <si>
    <t xml:space="preserve">100% of swept combos profitable, median +1099.65 — the strongest result in this batch. Still single-window in-sample; test on a different date range before considering live.</t>
  </si>
  <si>
    <t xml:space="preserve">Mixed — not robust enough</t>
  </si>
  <si>
    <t xml:space="preserve">trend_sma=50 lost -1133.43; only 2 of 3 combos profitable.</t>
  </si>
  <si>
    <t xml:space="preserve">AAPL</t>
  </si>
  <si>
    <t xml:space="preserve">trend_sma=20, volume_confirm=false (best of 6)</t>
  </si>
  <si>
    <t xml:space="preserve">100% of swept combos profitable on real volume data — the other standout result. Small absolute P&amp;L (single-share backtest units); needs out-of-sample check.</t>
  </si>
  <si>
    <t xml:space="preserve">SPY</t>
  </si>
  <si>
    <t xml:space="preserve">trend_sma=0, volume_confirm=true (best of 6)</t>
  </si>
  <si>
    <t xml:space="preserve">Only 1 of 6 combos profitable; median -6.03. Does not work on SPY.</t>
  </si>
  <si>
    <t xml:space="preserve">QQQ</t>
  </si>
  <si>
    <t xml:space="preserve">trend_sma=50, volume_confirm=true (best of 6)</t>
  </si>
  <si>
    <t xml:space="preserve">Half of swept combos profitable, half not; marginal.</t>
  </si>
  <si>
    <t xml:space="preserve">VWAP reclaim (re-test, real volume)</t>
  </si>
  <si>
    <t xml:space="preserve">Re-test of 2026-09-02 'untestable on indices' finding</t>
  </si>
  <si>
    <t xml:space="preserve">n/a (single backtest, not swept)</t>
  </si>
  <si>
    <t xml:space="preserve">Promising — needs sweep + validation</t>
  </si>
  <si>
    <t xml:space="preserve">Real volume data (unlike indices) makes this testable now. Best of the three real-volume stocks; not yet parameter-swept.</t>
  </si>
  <si>
    <t xml:space="preserve">Mixed — needs sweep + validation</t>
  </si>
  <si>
    <t xml:space="preserve">Marginally positive, close to breakeven.</t>
  </si>
  <si>
    <t xml:space="preserve">Rejected — negative P&amp;L</t>
  </si>
  <si>
    <t xml:space="preserve">Win rate over 50% but avg loss outweighs avg win.</t>
  </si>
  <si>
    <t xml:space="preserve">ORB + volume confirmation (re-test, real volume)</t>
  </si>
  <si>
    <t xml:space="preserve">AAPL/SPY/QQQ</t>
  </si>
  <si>
    <t xml:space="preserve">orb=5/15/30m, volume_mult=1.2/1.5/2.0</t>
  </si>
  <si>
    <t xml:space="preserve">Needs investigation</t>
  </si>
  <si>
    <t xml:space="preserve">Still 0 trades on all 9 combos across all 3 real-volume stocks — this is no longer a zero-volume-data problem, so the volume_mult entry condition itself likely needs review (may be too strict or have a logic issue).</t>
  </si>
  <si>
    <t xml:space="preserve">Param sweep vs 24 combos, extending scope to gold/forex per user request</t>
  </si>
  <si>
    <t xml:space="preserve">GC=F (Gold futures)</t>
  </si>
  <si>
    <t xml:space="preserve">orb=15m, sma 20/21 (best of 24)</t>
  </si>
  <si>
    <t xml:space="preserve">Strongest result in this batch: 100% of 24 swept combos profitable, median +554.20 - beats several NSE symbols' win rates. Promoted to full 2% ceiling.</t>
  </si>
  <si>
    <t xml:space="preserve">Extending scope to gold/forex</t>
  </si>
  <si>
    <t xml:space="preserve">trend_sma=20 (best of 3)</t>
  </si>
  <si>
    <t xml:space="preserve">Robust but weaker than orb_breakout on this symbol</t>
  </si>
  <si>
    <t xml:space="preserve">100% of combos profitable but lower win rate/PnL than orb_breakout on the same symbol - orb_breakout adopted instead.</t>
  </si>
  <si>
    <t xml:space="preserve">USDINR=X (forex)</t>
  </si>
  <si>
    <t xml:space="preserve">orb=5m, sma 9/20 (best of 24)</t>
  </si>
  <si>
    <t xml:space="preserve">100% of swept combos profitable, but tiny absolute PnL (unit-qty backtest on a currency pair quoted ~94) - needs a lot-size-aware re-check before adoption, not just percent robustness.</t>
  </si>
  <si>
    <t xml:space="preserve">trend_sma=50 (best of 3)</t>
  </si>
  <si>
    <t xml:space="preserve">Weaker than orb_breakout on this symbol</t>
  </si>
  <si>
    <t xml:space="preserve">Robust but lower win rate than orb_breakout on the same pair.</t>
  </si>
  <si>
    <t xml:space="preserve">EURUSD=X (forex)</t>
  </si>
  <si>
    <t xml:space="preserve">n/a - sweep failed (502)</t>
  </si>
  <si>
    <t xml:space="preserve">Data error — not tested</t>
  </si>
  <si>
    <t xml:space="preserve">Render returned a 502 mid-sweep (transient cold-start, not a strategy result) - re-run pending.</t>
  </si>
  <si>
    <t xml:space="preserve">n/a (best of 3, all near-zero)</t>
  </si>
  <si>
    <t xml:space="preserve">Rejected — effectively no edge</t>
  </si>
  <si>
    <t xml:space="preserve">Win rate near 0% on the best combo; total P&amp;L is noise-level. Does not work on this pair.</t>
  </si>
  <si>
    <t xml:space="preserve">Strategy Research Summary</t>
  </si>
  <si>
    <t xml:space="preserve">Total strategy/symbol tests logged</t>
  </si>
  <si>
    <t xml:space="preserve">Currently live (adopted)</t>
  </si>
  <si>
    <t xml:space="preserve">Untestable on current data</t>
  </si>
  <si>
    <t xml:space="preserve">Avg win rate, live strategies</t>
  </si>
  <si>
    <t xml:space="preserve">Avg backtest P&amp;L, live strategies (INR)</t>
  </si>
  <si>
    <t xml:space="preserve">How to use this sheet</t>
  </si>
  <si>
    <t xml:space="preserve">Strategy Log is the evidence-based record behind every live trading parameter in main.py's WATCHLIST. Nothing goes live without a row here showing real backtest results (win rate, P&amp;L, % of swept parameter combos profitable) - never adopt a strategy on reputation alone. The Research Agent (independent Claude session, daily) appends a new row every time it tests a candidate strategy, whether it's adopted, rejected, or inconclusive - so this sheet is the single place to browse everything that's been tried, pick a strategy with real evidence behind it, and see why the current live params were chosen over the alternatives.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</si>
</sst>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#,##0.00;\(#,##0.00\);\-"/>
    <numFmt numFmtId="166" formatCode="0.0%"/>
    <numFmt numFmtId="167" formatCode="#,##0.00;\(#,##0.00\);\-"/>
    <numFmt numFmtId="168" formatCode="General"/>
    <numFmt numFmtId="169" formatCode="#,##0.00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3"/>
      <name val="Arial"/>
      <family val="0"/>
      <charset val="1"/>
    </font>
    <font>
      <b val="true"/>
      <sz val="10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F2937"/>
        <bgColor rgb="FF333300"/>
      </patternFill>
    </fill>
    <fill>
      <patternFill patternType="solid">
        <fgColor rgb="FFC6EFCE"/>
        <bgColor rgb="FFD3D9E2"/>
      </patternFill>
    </fill>
    <fill>
      <patternFill patternType="solid">
        <fgColor rgb="FFFFC7CE"/>
        <bgColor rgb="FFD3D9E2"/>
      </patternFill>
    </fill>
    <fill>
      <patternFill patternType="solid">
        <fgColor rgb="FFFFEB9C"/>
        <bgColor rgb="FFFFFF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3D9E2"/>
      </left>
      <right style="thin">
        <color rgb="FFD3D9E2"/>
      </right>
      <top style="thin">
        <color rgb="FFD3D9E2"/>
      </top>
      <bottom style="thin">
        <color rgb="FFD3D9E2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3D9E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22"/>
    <col collapsed="false" customWidth="true" hidden="false" outlineLevel="0" max="3" min="3" style="1" width="20"/>
    <col collapsed="false" customWidth="true" hidden="false" outlineLevel="0" max="4" min="4" style="1" width="26"/>
    <col collapsed="false" customWidth="true" hidden="false" outlineLevel="0" max="5" min="5" style="1" width="16"/>
    <col collapsed="false" customWidth="true" hidden="false" outlineLevel="0" max="6" min="6" style="1" width="22"/>
    <col collapsed="false" customWidth="true" hidden="false" outlineLevel="0" max="7" min="7" style="1" width="14"/>
    <col collapsed="false" customWidth="true" hidden="false" outlineLevel="0" max="8" min="8" style="1" width="10"/>
    <col collapsed="false" customWidth="true" hidden="false" outlineLevel="0" max="9" min="9" style="1" width="9"/>
    <col collapsed="false" customWidth="true" hidden="false" outlineLevel="0" max="11" min="10" style="1" width="14"/>
    <col collapsed="false" customWidth="true" hidden="false" outlineLevel="0" max="12" min="12" style="1" width="16"/>
    <col collapsed="false" customWidth="true" hidden="false" outlineLevel="0" max="13" min="13" style="1" width="12"/>
    <col collapsed="false" customWidth="true" hidden="false" outlineLevel="0" max="14" min="14" style="1" width="46"/>
  </cols>
  <sheetData>
    <row r="1" customFormat="false" ht="30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</row>
    <row r="2" customFormat="false" ht="15" hidden="false" customHeight="true" outlineLevel="0" collapsed="false">
      <c r="A2" s="3" t="s">
        <v>14</v>
      </c>
      <c r="B2" s="3" t="s">
        <v>15</v>
      </c>
      <c r="C2" s="3" t="s">
        <v>16</v>
      </c>
      <c r="D2" s="3" t="s">
        <v>17</v>
      </c>
      <c r="E2" s="3" t="s">
        <v>18</v>
      </c>
      <c r="F2" s="3" t="s">
        <v>19</v>
      </c>
      <c r="G2" s="3" t="s">
        <v>20</v>
      </c>
      <c r="H2" s="3"/>
      <c r="I2" s="3"/>
      <c r="J2" s="4" t="n">
        <v>195.9</v>
      </c>
      <c r="K2" s="3"/>
      <c r="L2" s="3" t="s">
        <v>21</v>
      </c>
      <c r="M2" s="3" t="s">
        <v>22</v>
      </c>
      <c r="N2" s="3" t="s">
        <v>23</v>
      </c>
    </row>
    <row r="3" customFormat="false" ht="23.25" hidden="false" customHeight="true" outlineLevel="0" collapsed="false">
      <c r="A3" s="3" t="s">
        <v>14</v>
      </c>
      <c r="B3" s="3" t="s">
        <v>15</v>
      </c>
      <c r="C3" s="3" t="s">
        <v>16</v>
      </c>
      <c r="D3" s="3" t="s">
        <v>17</v>
      </c>
      <c r="E3" s="3" t="s">
        <v>24</v>
      </c>
      <c r="F3" s="3" t="s">
        <v>19</v>
      </c>
      <c r="G3" s="3" t="s">
        <v>20</v>
      </c>
      <c r="H3" s="3"/>
      <c r="I3" s="3"/>
      <c r="J3" s="4" t="n">
        <v>1686.55</v>
      </c>
      <c r="K3" s="3"/>
      <c r="L3" s="3" t="s">
        <v>21</v>
      </c>
      <c r="M3" s="3" t="s">
        <v>22</v>
      </c>
      <c r="N3" s="3" t="s">
        <v>23</v>
      </c>
    </row>
    <row r="4" customFormat="false" ht="15" hidden="false" customHeight="true" outlineLevel="0" collapsed="false">
      <c r="A4" s="3" t="s">
        <v>14</v>
      </c>
      <c r="B4" s="3" t="s">
        <v>15</v>
      </c>
      <c r="C4" s="3" t="s">
        <v>16</v>
      </c>
      <c r="D4" s="3" t="s">
        <v>17</v>
      </c>
      <c r="E4" s="3" t="s">
        <v>25</v>
      </c>
      <c r="F4" s="3" t="s">
        <v>19</v>
      </c>
      <c r="G4" s="3" t="s">
        <v>20</v>
      </c>
      <c r="H4" s="3"/>
      <c r="I4" s="3"/>
      <c r="J4" s="4" t="n">
        <v>456.58</v>
      </c>
      <c r="K4" s="3"/>
      <c r="L4" s="3" t="s">
        <v>21</v>
      </c>
      <c r="M4" s="3" t="s">
        <v>22</v>
      </c>
      <c r="N4" s="3" t="s">
        <v>23</v>
      </c>
    </row>
    <row r="5" customFormat="false" ht="23.25" hidden="false" customHeight="true" outlineLevel="0" collapsed="false">
      <c r="A5" s="3" t="s">
        <v>14</v>
      </c>
      <c r="B5" s="3" t="s">
        <v>26</v>
      </c>
      <c r="C5" s="3" t="s">
        <v>16</v>
      </c>
      <c r="D5" s="3" t="s">
        <v>27</v>
      </c>
      <c r="E5" s="3" t="s">
        <v>18</v>
      </c>
      <c r="F5" s="3" t="s">
        <v>28</v>
      </c>
      <c r="G5" s="3" t="s">
        <v>20</v>
      </c>
      <c r="H5" s="5" t="n">
        <v>0.562</v>
      </c>
      <c r="I5" s="3" t="n">
        <v>32</v>
      </c>
      <c r="J5" s="4" t="n">
        <v>593.6</v>
      </c>
      <c r="K5" s="5" t="n">
        <v>0.958</v>
      </c>
      <c r="L5" s="6" t="s">
        <v>29</v>
      </c>
      <c r="M5" s="3" t="s">
        <v>30</v>
      </c>
      <c r="N5" s="3" t="s">
        <v>31</v>
      </c>
    </row>
    <row r="6" customFormat="false" ht="23.25" hidden="false" customHeight="true" outlineLevel="0" collapsed="false">
      <c r="A6" s="3" t="s">
        <v>14</v>
      </c>
      <c r="B6" s="3" t="s">
        <v>26</v>
      </c>
      <c r="C6" s="3" t="s">
        <v>16</v>
      </c>
      <c r="D6" s="3" t="s">
        <v>27</v>
      </c>
      <c r="E6" s="3" t="s">
        <v>24</v>
      </c>
      <c r="F6" s="3" t="s">
        <v>32</v>
      </c>
      <c r="G6" s="3" t="s">
        <v>20</v>
      </c>
      <c r="H6" s="5" t="n">
        <v>0.516</v>
      </c>
      <c r="I6" s="3" t="n">
        <v>31</v>
      </c>
      <c r="J6" s="4" t="n">
        <v>3087.9</v>
      </c>
      <c r="K6" s="5" t="n">
        <v>1</v>
      </c>
      <c r="L6" s="6" t="s">
        <v>29</v>
      </c>
      <c r="M6" s="3" t="s">
        <v>30</v>
      </c>
      <c r="N6" s="3" t="s">
        <v>33</v>
      </c>
    </row>
    <row r="7" customFormat="false" ht="23.25" hidden="false" customHeight="true" outlineLevel="0" collapsed="false">
      <c r="A7" s="3" t="s">
        <v>14</v>
      </c>
      <c r="B7" s="3" t="s">
        <v>26</v>
      </c>
      <c r="C7" s="3" t="s">
        <v>16</v>
      </c>
      <c r="D7" s="3" t="s">
        <v>27</v>
      </c>
      <c r="E7" s="3" t="s">
        <v>25</v>
      </c>
      <c r="F7" s="3" t="s">
        <v>34</v>
      </c>
      <c r="G7" s="3" t="s">
        <v>20</v>
      </c>
      <c r="H7" s="5" t="n">
        <v>0.607</v>
      </c>
      <c r="I7" s="3" t="n">
        <v>28</v>
      </c>
      <c r="J7" s="4" t="n">
        <v>1823.56</v>
      </c>
      <c r="K7" s="5" t="n">
        <v>0.958</v>
      </c>
      <c r="L7" s="6" t="s">
        <v>29</v>
      </c>
      <c r="M7" s="3" t="s">
        <v>30</v>
      </c>
      <c r="N7" s="3" t="s">
        <v>35</v>
      </c>
    </row>
    <row r="8" customFormat="false" ht="15" hidden="false" customHeight="true" outlineLevel="0" collapsed="false">
      <c r="A8" s="3" t="s">
        <v>14</v>
      </c>
      <c r="B8" s="3" t="s">
        <v>36</v>
      </c>
      <c r="C8" s="3" t="s">
        <v>37</v>
      </c>
      <c r="D8" s="3" t="s">
        <v>38</v>
      </c>
      <c r="E8" s="3" t="s">
        <v>18</v>
      </c>
      <c r="F8" s="3" t="s">
        <v>39</v>
      </c>
      <c r="G8" s="3" t="s">
        <v>20</v>
      </c>
      <c r="H8" s="5" t="n">
        <v>0.28</v>
      </c>
      <c r="I8" s="3"/>
      <c r="J8" s="4" t="n">
        <v>-164.35</v>
      </c>
      <c r="K8" s="3"/>
      <c r="L8" s="7" t="s">
        <v>40</v>
      </c>
      <c r="M8" s="3" t="s">
        <v>22</v>
      </c>
      <c r="N8" s="3" t="s">
        <v>41</v>
      </c>
    </row>
    <row r="9" customFormat="false" ht="23.25" hidden="false" customHeight="true" outlineLevel="0" collapsed="false">
      <c r="A9" s="3" t="s">
        <v>14</v>
      </c>
      <c r="B9" s="3" t="s">
        <v>36</v>
      </c>
      <c r="C9" s="3" t="s">
        <v>37</v>
      </c>
      <c r="D9" s="3" t="s">
        <v>38</v>
      </c>
      <c r="E9" s="3" t="s">
        <v>24</v>
      </c>
      <c r="F9" s="3" t="s">
        <v>39</v>
      </c>
      <c r="G9" s="3" t="s">
        <v>20</v>
      </c>
      <c r="H9" s="5" t="n">
        <v>0.32</v>
      </c>
      <c r="I9" s="3"/>
      <c r="J9" s="4" t="n">
        <v>-1120</v>
      </c>
      <c r="K9" s="3"/>
      <c r="L9" s="7" t="s">
        <v>40</v>
      </c>
      <c r="M9" s="3" t="s">
        <v>22</v>
      </c>
      <c r="N9" s="3" t="s">
        <v>41</v>
      </c>
    </row>
    <row r="10" customFormat="false" ht="15" hidden="false" customHeight="true" outlineLevel="0" collapsed="false">
      <c r="A10" s="3" t="s">
        <v>14</v>
      </c>
      <c r="B10" s="3" t="s">
        <v>36</v>
      </c>
      <c r="C10" s="3" t="s">
        <v>37</v>
      </c>
      <c r="D10" s="3" t="s">
        <v>38</v>
      </c>
      <c r="E10" s="3" t="s">
        <v>25</v>
      </c>
      <c r="F10" s="3" t="s">
        <v>39</v>
      </c>
      <c r="G10" s="3" t="s">
        <v>20</v>
      </c>
      <c r="H10" s="5" t="n">
        <v>0.36</v>
      </c>
      <c r="I10" s="3"/>
      <c r="J10" s="4" t="n">
        <v>-382.51</v>
      </c>
      <c r="K10" s="3"/>
      <c r="L10" s="7" t="s">
        <v>40</v>
      </c>
      <c r="M10" s="3" t="s">
        <v>22</v>
      </c>
      <c r="N10" s="3" t="s">
        <v>41</v>
      </c>
    </row>
    <row r="11" customFormat="false" ht="23.25" hidden="false" customHeight="true" outlineLevel="0" collapsed="false">
      <c r="A11" s="3" t="s">
        <v>14</v>
      </c>
      <c r="B11" s="3" t="s">
        <v>42</v>
      </c>
      <c r="C11" s="3" t="s">
        <v>43</v>
      </c>
      <c r="D11" s="3" t="s">
        <v>44</v>
      </c>
      <c r="E11" s="3" t="s">
        <v>45</v>
      </c>
      <c r="F11" s="3" t="s">
        <v>46</v>
      </c>
      <c r="G11" s="3" t="s">
        <v>20</v>
      </c>
      <c r="H11" s="3"/>
      <c r="I11" s="3"/>
      <c r="J11" s="4" t="n">
        <v>0</v>
      </c>
      <c r="K11" s="3"/>
      <c r="L11" s="8" t="s">
        <v>47</v>
      </c>
      <c r="M11" s="3" t="s">
        <v>22</v>
      </c>
      <c r="N11" s="3" t="s">
        <v>48</v>
      </c>
    </row>
    <row r="12" customFormat="false" ht="23.25" hidden="false" customHeight="true" outlineLevel="0" collapsed="false">
      <c r="A12" s="3" t="s">
        <v>14</v>
      </c>
      <c r="B12" s="3" t="s">
        <v>49</v>
      </c>
      <c r="C12" s="3" t="s">
        <v>50</v>
      </c>
      <c r="D12" s="3" t="s">
        <v>51</v>
      </c>
      <c r="E12" s="3" t="s">
        <v>45</v>
      </c>
      <c r="F12" s="3" t="s">
        <v>46</v>
      </c>
      <c r="G12" s="3" t="s">
        <v>20</v>
      </c>
      <c r="H12" s="3"/>
      <c r="I12" s="3"/>
      <c r="J12" s="4" t="n">
        <v>0</v>
      </c>
      <c r="K12" s="3"/>
      <c r="L12" s="8" t="s">
        <v>47</v>
      </c>
      <c r="M12" s="3" t="s">
        <v>22</v>
      </c>
      <c r="N12" s="3" t="s">
        <v>52</v>
      </c>
    </row>
    <row r="13" customFormat="false" ht="23.25" hidden="false" customHeight="true" outlineLevel="0" collapsed="false">
      <c r="A13" s="3" t="s">
        <v>53</v>
      </c>
      <c r="B13" s="3" t="s">
        <v>54</v>
      </c>
      <c r="C13" s="3" t="s">
        <v>55</v>
      </c>
      <c r="D13" s="3" t="s">
        <v>56</v>
      </c>
      <c r="E13" s="3" t="s">
        <v>18</v>
      </c>
      <c r="F13" s="3" t="s">
        <v>57</v>
      </c>
      <c r="G13" s="3" t="s">
        <v>20</v>
      </c>
      <c r="H13" s="5" t="n">
        <v>0.433</v>
      </c>
      <c r="I13" s="3" t="n">
        <v>97</v>
      </c>
      <c r="J13" s="4" t="n">
        <v>270.65</v>
      </c>
      <c r="K13" s="5" t="n">
        <v>0.333</v>
      </c>
      <c r="L13" s="7" t="s">
        <v>58</v>
      </c>
      <c r="M13" s="3" t="s">
        <v>22</v>
      </c>
      <c r="N13" s="3" t="s">
        <v>59</v>
      </c>
    </row>
    <row r="14" customFormat="false" ht="34.5" hidden="false" customHeight="true" outlineLevel="0" collapsed="false">
      <c r="A14" s="3" t="s">
        <v>53</v>
      </c>
      <c r="B14" s="3" t="s">
        <v>54</v>
      </c>
      <c r="C14" s="3" t="s">
        <v>55</v>
      </c>
      <c r="D14" s="3" t="s">
        <v>56</v>
      </c>
      <c r="E14" s="3" t="s">
        <v>24</v>
      </c>
      <c r="F14" s="3" t="s">
        <v>57</v>
      </c>
      <c r="G14" s="3" t="s">
        <v>20</v>
      </c>
      <c r="H14" s="5" t="n">
        <v>0.444</v>
      </c>
      <c r="I14" s="3" t="n">
        <v>144</v>
      </c>
      <c r="J14" s="4" t="n">
        <v>2495.15</v>
      </c>
      <c r="K14" s="5" t="n">
        <v>1</v>
      </c>
      <c r="L14" s="3" t="s">
        <v>60</v>
      </c>
      <c r="M14" s="3" t="s">
        <v>22</v>
      </c>
      <c r="N14" s="3" t="s">
        <v>61</v>
      </c>
    </row>
    <row r="15" customFormat="false" ht="23.25" hidden="false" customHeight="true" outlineLevel="0" collapsed="false">
      <c r="A15" s="3" t="s">
        <v>53</v>
      </c>
      <c r="B15" s="3" t="s">
        <v>54</v>
      </c>
      <c r="C15" s="3" t="s">
        <v>55</v>
      </c>
      <c r="D15" s="3" t="s">
        <v>56</v>
      </c>
      <c r="E15" s="3" t="s">
        <v>25</v>
      </c>
      <c r="F15" s="3" t="s">
        <v>57</v>
      </c>
      <c r="G15" s="3" t="s">
        <v>20</v>
      </c>
      <c r="H15" s="5" t="n">
        <v>0.374</v>
      </c>
      <c r="I15" s="3" t="n">
        <v>179</v>
      </c>
      <c r="J15" s="4" t="n">
        <v>293.31</v>
      </c>
      <c r="K15" s="5" t="n">
        <v>0.667</v>
      </c>
      <c r="L15" s="3" t="s">
        <v>62</v>
      </c>
      <c r="M15" s="3" t="s">
        <v>22</v>
      </c>
      <c r="N15" s="3" t="s">
        <v>63</v>
      </c>
    </row>
    <row r="16" customFormat="false" ht="34.5" hidden="false" customHeight="true" outlineLevel="0" collapsed="false">
      <c r="A16" s="3" t="s">
        <v>53</v>
      </c>
      <c r="B16" s="3" t="s">
        <v>54</v>
      </c>
      <c r="C16" s="3" t="s">
        <v>55</v>
      </c>
      <c r="D16" s="3" t="s">
        <v>56</v>
      </c>
      <c r="E16" s="3" t="s">
        <v>64</v>
      </c>
      <c r="F16" s="3" t="s">
        <v>65</v>
      </c>
      <c r="G16" s="3" t="s">
        <v>20</v>
      </c>
      <c r="H16" s="5" t="n">
        <v>0.523</v>
      </c>
      <c r="I16" s="3" t="n">
        <v>111</v>
      </c>
      <c r="J16" s="4" t="n">
        <v>56.4</v>
      </c>
      <c r="K16" s="5" t="n">
        <v>1</v>
      </c>
      <c r="L16" s="3" t="s">
        <v>60</v>
      </c>
      <c r="M16" s="3" t="s">
        <v>22</v>
      </c>
      <c r="N16" s="3" t="s">
        <v>66</v>
      </c>
    </row>
    <row r="17" customFormat="false" ht="23.25" hidden="false" customHeight="true" outlineLevel="0" collapsed="false">
      <c r="A17" s="3" t="s">
        <v>53</v>
      </c>
      <c r="B17" s="3" t="s">
        <v>54</v>
      </c>
      <c r="C17" s="3" t="s">
        <v>55</v>
      </c>
      <c r="D17" s="3" t="s">
        <v>56</v>
      </c>
      <c r="E17" s="3" t="s">
        <v>67</v>
      </c>
      <c r="F17" s="3" t="s">
        <v>68</v>
      </c>
      <c r="G17" s="3" t="s">
        <v>20</v>
      </c>
      <c r="H17" s="5" t="n">
        <v>0.422</v>
      </c>
      <c r="I17" s="3" t="n">
        <v>83</v>
      </c>
      <c r="J17" s="4" t="n">
        <v>8.07</v>
      </c>
      <c r="K17" s="5" t="n">
        <v>0.167</v>
      </c>
      <c r="L17" s="7" t="s">
        <v>58</v>
      </c>
      <c r="M17" s="3" t="s">
        <v>22</v>
      </c>
      <c r="N17" s="3" t="s">
        <v>69</v>
      </c>
    </row>
    <row r="18" customFormat="false" ht="23.25" hidden="false" customHeight="true" outlineLevel="0" collapsed="false">
      <c r="A18" s="3" t="s">
        <v>53</v>
      </c>
      <c r="B18" s="3" t="s">
        <v>54</v>
      </c>
      <c r="C18" s="3" t="s">
        <v>55</v>
      </c>
      <c r="D18" s="3" t="s">
        <v>56</v>
      </c>
      <c r="E18" s="3" t="s">
        <v>70</v>
      </c>
      <c r="F18" s="3" t="s">
        <v>71</v>
      </c>
      <c r="G18" s="3" t="s">
        <v>20</v>
      </c>
      <c r="H18" s="5" t="n">
        <v>0.405</v>
      </c>
      <c r="I18" s="3" t="n">
        <v>37</v>
      </c>
      <c r="J18" s="4" t="n">
        <v>32.94</v>
      </c>
      <c r="K18" s="5" t="n">
        <v>0.5</v>
      </c>
      <c r="L18" s="3" t="s">
        <v>62</v>
      </c>
      <c r="M18" s="3" t="s">
        <v>22</v>
      </c>
      <c r="N18" s="3" t="s">
        <v>72</v>
      </c>
    </row>
    <row r="19" customFormat="false" ht="23.25" hidden="false" customHeight="true" outlineLevel="0" collapsed="false">
      <c r="A19" s="3" t="s">
        <v>53</v>
      </c>
      <c r="B19" s="3" t="s">
        <v>73</v>
      </c>
      <c r="C19" s="3" t="s">
        <v>43</v>
      </c>
      <c r="D19" s="3" t="s">
        <v>74</v>
      </c>
      <c r="E19" s="3" t="s">
        <v>64</v>
      </c>
      <c r="F19" s="3" t="s">
        <v>75</v>
      </c>
      <c r="G19" s="3" t="s">
        <v>20</v>
      </c>
      <c r="H19" s="5" t="n">
        <v>0.639</v>
      </c>
      <c r="I19" s="3" t="n">
        <v>36</v>
      </c>
      <c r="J19" s="4" t="n">
        <v>40.71</v>
      </c>
      <c r="K19" s="3"/>
      <c r="L19" s="3" t="s">
        <v>76</v>
      </c>
      <c r="M19" s="3" t="s">
        <v>22</v>
      </c>
      <c r="N19" s="3" t="s">
        <v>77</v>
      </c>
    </row>
    <row r="20" customFormat="false" ht="23.25" hidden="false" customHeight="true" outlineLevel="0" collapsed="false">
      <c r="A20" s="3" t="s">
        <v>53</v>
      </c>
      <c r="B20" s="3" t="s">
        <v>73</v>
      </c>
      <c r="C20" s="3" t="s">
        <v>43</v>
      </c>
      <c r="D20" s="3" t="s">
        <v>74</v>
      </c>
      <c r="E20" s="3" t="s">
        <v>67</v>
      </c>
      <c r="F20" s="3" t="s">
        <v>75</v>
      </c>
      <c r="G20" s="3" t="s">
        <v>20</v>
      </c>
      <c r="H20" s="5" t="n">
        <v>0.467</v>
      </c>
      <c r="I20" s="3" t="n">
        <v>45</v>
      </c>
      <c r="J20" s="4" t="n">
        <v>11.99</v>
      </c>
      <c r="K20" s="3"/>
      <c r="L20" s="3" t="s">
        <v>78</v>
      </c>
      <c r="M20" s="3" t="s">
        <v>22</v>
      </c>
      <c r="N20" s="3" t="s">
        <v>79</v>
      </c>
    </row>
    <row r="21" customFormat="false" ht="23.25" hidden="false" customHeight="true" outlineLevel="0" collapsed="false">
      <c r="A21" s="3" t="s">
        <v>53</v>
      </c>
      <c r="B21" s="3" t="s">
        <v>73</v>
      </c>
      <c r="C21" s="3" t="s">
        <v>43</v>
      </c>
      <c r="D21" s="3" t="s">
        <v>74</v>
      </c>
      <c r="E21" s="3" t="s">
        <v>70</v>
      </c>
      <c r="F21" s="3" t="s">
        <v>75</v>
      </c>
      <c r="G21" s="3" t="s">
        <v>20</v>
      </c>
      <c r="H21" s="5" t="n">
        <v>0.511</v>
      </c>
      <c r="I21" s="3" t="n">
        <v>47</v>
      </c>
      <c r="J21" s="4" t="n">
        <v>-13.88</v>
      </c>
      <c r="K21" s="3"/>
      <c r="L21" s="7" t="s">
        <v>80</v>
      </c>
      <c r="M21" s="3" t="s">
        <v>22</v>
      </c>
      <c r="N21" s="3" t="s">
        <v>81</v>
      </c>
    </row>
    <row r="22" customFormat="false" ht="45.75" hidden="false" customHeight="true" outlineLevel="0" collapsed="false">
      <c r="A22" s="3" t="s">
        <v>53</v>
      </c>
      <c r="B22" s="3" t="s">
        <v>82</v>
      </c>
      <c r="C22" s="3" t="s">
        <v>50</v>
      </c>
      <c r="D22" s="3" t="s">
        <v>74</v>
      </c>
      <c r="E22" s="3" t="s">
        <v>83</v>
      </c>
      <c r="F22" s="3" t="s">
        <v>84</v>
      </c>
      <c r="G22" s="3" t="s">
        <v>20</v>
      </c>
      <c r="H22" s="3"/>
      <c r="I22" s="3" t="n">
        <v>0</v>
      </c>
      <c r="J22" s="4" t="n">
        <v>0</v>
      </c>
      <c r="K22" s="5" t="n">
        <v>0</v>
      </c>
      <c r="L22" s="8" t="s">
        <v>85</v>
      </c>
      <c r="M22" s="3" t="s">
        <v>22</v>
      </c>
      <c r="N22" s="3" t="s">
        <v>86</v>
      </c>
    </row>
    <row r="23" customFormat="false" ht="35.05" hidden="false" customHeight="false" outlineLevel="0" collapsed="false">
      <c r="A23" s="3" t="s">
        <v>53</v>
      </c>
      <c r="B23" s="3" t="s">
        <v>15</v>
      </c>
      <c r="C23" s="3" t="s">
        <v>16</v>
      </c>
      <c r="D23" s="3" t="s">
        <v>87</v>
      </c>
      <c r="E23" s="3" t="s">
        <v>88</v>
      </c>
      <c r="F23" s="3" t="s">
        <v>89</v>
      </c>
      <c r="G23" s="3" t="s">
        <v>20</v>
      </c>
      <c r="H23" s="5" t="n">
        <v>0.65</v>
      </c>
      <c r="I23" s="3" t="n">
        <v>40</v>
      </c>
      <c r="J23" s="9" t="n">
        <v>676.5</v>
      </c>
      <c r="K23" s="5" t="n">
        <v>1</v>
      </c>
      <c r="L23" s="6" t="s">
        <v>29</v>
      </c>
      <c r="M23" s="3" t="s">
        <v>30</v>
      </c>
      <c r="N23" s="3" t="s">
        <v>90</v>
      </c>
    </row>
    <row r="24" customFormat="false" ht="35.05" hidden="false" customHeight="false" outlineLevel="0" collapsed="false">
      <c r="A24" s="3" t="s">
        <v>53</v>
      </c>
      <c r="B24" s="3" t="s">
        <v>54</v>
      </c>
      <c r="C24" s="3" t="s">
        <v>55</v>
      </c>
      <c r="D24" s="3" t="s">
        <v>91</v>
      </c>
      <c r="E24" s="3" t="s">
        <v>88</v>
      </c>
      <c r="F24" s="3" t="s">
        <v>92</v>
      </c>
      <c r="G24" s="3" t="s">
        <v>20</v>
      </c>
      <c r="H24" s="5" t="n">
        <v>0.398</v>
      </c>
      <c r="I24" s="3" t="n">
        <v>337</v>
      </c>
      <c r="J24" s="9" t="n">
        <v>114.2</v>
      </c>
      <c r="K24" s="5" t="n">
        <v>1</v>
      </c>
      <c r="L24" s="3" t="s">
        <v>93</v>
      </c>
      <c r="M24" s="3" t="s">
        <v>22</v>
      </c>
      <c r="N24" s="3" t="s">
        <v>94</v>
      </c>
    </row>
    <row r="25" customFormat="false" ht="35.05" hidden="false" customHeight="false" outlineLevel="0" collapsed="false">
      <c r="A25" s="3" t="s">
        <v>53</v>
      </c>
      <c r="B25" s="3" t="s">
        <v>15</v>
      </c>
      <c r="C25" s="3" t="s">
        <v>16</v>
      </c>
      <c r="D25" s="3" t="s">
        <v>91</v>
      </c>
      <c r="E25" s="3" t="s">
        <v>95</v>
      </c>
      <c r="F25" s="3" t="s">
        <v>96</v>
      </c>
      <c r="G25" s="3" t="s">
        <v>20</v>
      </c>
      <c r="H25" s="5" t="n">
        <v>0.633</v>
      </c>
      <c r="I25" s="3" t="n">
        <v>49</v>
      </c>
      <c r="J25" s="9" t="n">
        <v>1.54</v>
      </c>
      <c r="K25" s="5" t="n">
        <v>1</v>
      </c>
      <c r="L25" s="3" t="s">
        <v>60</v>
      </c>
      <c r="M25" s="3" t="s">
        <v>22</v>
      </c>
      <c r="N25" s="3" t="s">
        <v>97</v>
      </c>
    </row>
    <row r="26" customFormat="false" ht="35.05" hidden="false" customHeight="false" outlineLevel="0" collapsed="false">
      <c r="A26" s="3" t="s">
        <v>53</v>
      </c>
      <c r="B26" s="3" t="s">
        <v>54</v>
      </c>
      <c r="C26" s="3" t="s">
        <v>55</v>
      </c>
      <c r="D26" s="3" t="s">
        <v>91</v>
      </c>
      <c r="E26" s="3" t="s">
        <v>95</v>
      </c>
      <c r="F26" s="3" t="s">
        <v>98</v>
      </c>
      <c r="G26" s="3" t="s">
        <v>20</v>
      </c>
      <c r="H26" s="5" t="n">
        <v>0.397</v>
      </c>
      <c r="I26" s="3" t="n">
        <v>73</v>
      </c>
      <c r="J26" s="9" t="n">
        <v>0.61</v>
      </c>
      <c r="K26" s="5" t="n">
        <v>1</v>
      </c>
      <c r="L26" s="3" t="s">
        <v>99</v>
      </c>
      <c r="M26" s="3" t="s">
        <v>22</v>
      </c>
      <c r="N26" s="3" t="s">
        <v>100</v>
      </c>
    </row>
    <row r="27" customFormat="false" ht="23.85" hidden="false" customHeight="false" outlineLevel="0" collapsed="false">
      <c r="A27" s="3" t="s">
        <v>53</v>
      </c>
      <c r="B27" s="3" t="s">
        <v>15</v>
      </c>
      <c r="C27" s="3" t="s">
        <v>16</v>
      </c>
      <c r="D27" s="3" t="s">
        <v>91</v>
      </c>
      <c r="E27" s="3" t="s">
        <v>101</v>
      </c>
      <c r="F27" s="3" t="s">
        <v>102</v>
      </c>
      <c r="G27" s="3" t="s">
        <v>20</v>
      </c>
      <c r="H27" s="3"/>
      <c r="I27" s="3"/>
      <c r="J27" s="3"/>
      <c r="K27" s="3"/>
      <c r="L27" s="8" t="s">
        <v>103</v>
      </c>
      <c r="M27" s="3" t="s">
        <v>22</v>
      </c>
      <c r="N27" s="3" t="s">
        <v>104</v>
      </c>
    </row>
    <row r="28" customFormat="false" ht="23.85" hidden="false" customHeight="false" outlineLevel="0" collapsed="false">
      <c r="A28" s="3" t="s">
        <v>53</v>
      </c>
      <c r="B28" s="3" t="s">
        <v>54</v>
      </c>
      <c r="C28" s="3" t="s">
        <v>55</v>
      </c>
      <c r="D28" s="3" t="s">
        <v>91</v>
      </c>
      <c r="E28" s="3" t="s">
        <v>101</v>
      </c>
      <c r="F28" s="3" t="s">
        <v>105</v>
      </c>
      <c r="G28" s="3" t="s">
        <v>20</v>
      </c>
      <c r="H28" s="5" t="n">
        <v>0.004</v>
      </c>
      <c r="I28" s="3" t="n">
        <v>497</v>
      </c>
      <c r="J28" s="9" t="n">
        <v>0.01</v>
      </c>
      <c r="K28" s="5" t="n">
        <v>0.667</v>
      </c>
      <c r="L28" s="7" t="s">
        <v>106</v>
      </c>
      <c r="M28" s="3" t="s">
        <v>22</v>
      </c>
      <c r="N28" s="3" t="s">
        <v>107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36"/>
    <col collapsed="false" customWidth="true" hidden="false" outlineLevel="0" max="2" min="2" style="1" width="18"/>
  </cols>
  <sheetData>
    <row r="1" customFormat="false" ht="15.75" hidden="false" customHeight="true" outlineLevel="0" collapsed="false">
      <c r="A1" s="10" t="s">
        <v>108</v>
      </c>
    </row>
    <row r="3" customFormat="false" ht="15" hidden="false" customHeight="true" outlineLevel="0" collapsed="false">
      <c r="A3" s="11" t="s">
        <v>109</v>
      </c>
      <c r="B3" s="12" t="n">
        <f aca="false">COUNTA('Strategy Log'!A2:A28)</f>
        <v>27</v>
      </c>
    </row>
    <row r="4" customFormat="false" ht="15" hidden="false" customHeight="true" outlineLevel="0" collapsed="false">
      <c r="A4" s="11" t="s">
        <v>110</v>
      </c>
      <c r="B4" s="12" t="n">
        <f aca="false">COUNTIF('Strategy Log'!M2:M28,"Yes")</f>
        <v>4</v>
      </c>
    </row>
    <row r="5" customFormat="false" ht="15" hidden="false" customHeight="true" outlineLevel="0" collapsed="false">
      <c r="A5" s="11" t="s">
        <v>40</v>
      </c>
      <c r="B5" s="12" t="n">
        <f aca="false">COUNTIF('Strategy Log'!L2:L28,"Rejected")</f>
        <v>3</v>
      </c>
    </row>
    <row r="6" customFormat="false" ht="15" hidden="false" customHeight="true" outlineLevel="0" collapsed="false">
      <c r="A6" s="11" t="s">
        <v>111</v>
      </c>
      <c r="B6" s="12" t="n">
        <f aca="false">COUNTIF('Strategy Log'!L2:L28,"Untestable on this data")</f>
        <v>2</v>
      </c>
    </row>
    <row r="7" customFormat="false" ht="15" hidden="false" customHeight="true" outlineLevel="0" collapsed="false">
      <c r="A7" s="11" t="s">
        <v>112</v>
      </c>
      <c r="B7" s="13" t="n">
        <f aca="false">IFERROR(AVERAGEIF('Strategy Log'!M2:M28,"Yes",'Strategy Log'!H2:H28),"n/a")</f>
        <v>0.58375</v>
      </c>
    </row>
    <row r="8" customFormat="false" ht="15" hidden="false" customHeight="true" outlineLevel="0" collapsed="false">
      <c r="A8" s="11" t="s">
        <v>113</v>
      </c>
      <c r="B8" s="14" t="n">
        <f aca="false">IFERROR(AVERAGEIF('Strategy Log'!M2:M28,"Yes",'Strategy Log'!J2:J28),"n/a")</f>
        <v>1545.39</v>
      </c>
    </row>
    <row r="11" customFormat="false" ht="15" hidden="false" customHeight="true" outlineLevel="0" collapsed="false">
      <c r="A11" s="11" t="s">
        <v>114</v>
      </c>
    </row>
    <row r="12" customFormat="false" ht="15" hidden="false" customHeight="true" outlineLevel="0" collapsed="false">
      <c r="A12" s="15" t="s">
        <v>115</v>
      </c>
      <c r="B12" s="15"/>
      <c r="C12" s="15"/>
      <c r="D12" s="15"/>
      <c r="E12" s="15"/>
      <c r="F12" s="15"/>
    </row>
    <row r="13" customFormat="false" ht="15" hidden="false" customHeight="true" outlineLevel="0" collapsed="false">
      <c r="A13" s="15"/>
      <c r="B13" s="15"/>
      <c r="C13" s="15"/>
      <c r="D13" s="15"/>
      <c r="E13" s="15"/>
      <c r="F13" s="15"/>
    </row>
    <row r="14" customFormat="false" ht="15" hidden="false" customHeight="true" outlineLevel="0" collapsed="false">
      <c r="A14" s="15"/>
      <c r="B14" s="15"/>
      <c r="C14" s="15"/>
      <c r="D14" s="15"/>
      <c r="E14" s="15"/>
      <c r="F14" s="15"/>
    </row>
    <row r="15" customFormat="false" ht="15" hidden="false" customHeight="true" outlineLevel="0" collapsed="false">
      <c r="A15" s="15"/>
      <c r="B15" s="15"/>
      <c r="C15" s="15"/>
      <c r="D15" s="15"/>
      <c r="E15" s="15"/>
      <c r="F15" s="15"/>
    </row>
    <row r="16" customFormat="false" ht="15" hidden="false" customHeight="true" outlineLevel="0" collapsed="false">
      <c r="A16" s="15"/>
      <c r="B16" s="15"/>
      <c r="C16" s="15"/>
      <c r="D16" s="15"/>
      <c r="E16" s="15"/>
      <c r="F16" s="15"/>
    </row>
  </sheetData>
  <mergeCells count="1">
    <mergeCell ref="A12:F1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2026-09-03T02:47:56Z</dcterms:created>
  <dc:creator>openpyxl</dc:creator>
  <dc:description/>
  <dc:language>en-US</dc:language>
  <cp:lastModifiedBy/>
  <dcterms:modified xsi:type="dcterms:W3CDTF">2026-09-03T03:33:25Z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